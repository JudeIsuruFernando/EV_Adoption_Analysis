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Google Drive\Data Analysis Education\Portfolio Projects\Driving the Transition An Analysis of Electric Vehicle Adoption Across the United States\Final\"/>
    </mc:Choice>
  </mc:AlternateContent>
  <xr:revisionPtr revIDLastSave="0" documentId="13_ncr:1_{E14D4065-9748-40A7-8712-1D642F3D30C1}" xr6:coauthVersionLast="47" xr6:coauthVersionMax="47" xr10:uidLastSave="{00000000-0000-0000-0000-000000000000}"/>
  <bookViews>
    <workbookView xWindow="-110" yWindow="-110" windowWidth="19420" windowHeight="10300" tabRatio="864" activeTab="2" xr2:uid="{65BE2250-39EB-496D-B5B2-20A5CBA6BCC0}"/>
  </bookViews>
  <sheets>
    <sheet name="Business Questions" sheetId="2" r:id="rId1"/>
    <sheet name="Percentage Of Fuel Type" sheetId="3" r:id="rId2"/>
    <sheet name="EV Adoption Rate" sheetId="7" r:id="rId3"/>
    <sheet name="Large States EV Adoption" sheetId="8" r:id="rId4"/>
    <sheet name="vehicle_data_cleaned" sheetId="4" r:id="rId5"/>
    <sheet name="vehicle_data_raw" sheetId="1" r:id="rId6"/>
    <sheet name="Support" sheetId="6" r:id="rId7"/>
  </sheets>
  <definedNames>
    <definedName name="ExternalData_1" localSheetId="4" hidden="1">vehicle_data_cleaned!$A$1:$D$613</definedName>
    <definedName name="Slicer_fuel_type">#N/A</definedName>
  </definedNames>
  <calcPr calcId="191029"/>
  <pivotCaches>
    <pivotCache cacheId="1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4" i="1" l="1"/>
  <c r="L54" i="1"/>
  <c r="K54" i="1"/>
  <c r="J54" i="1"/>
  <c r="I54" i="1"/>
  <c r="H54" i="1"/>
  <c r="G54" i="1"/>
  <c r="F54" i="1"/>
  <c r="E54" i="1"/>
  <c r="D54" i="1"/>
  <c r="C54" i="1"/>
  <c r="B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B6E81C-6172-4B29-AE9F-63E28B59114B}" keepAlive="1" name="Query - fuel_type_reference_table" description="Connection to the 'fuel_type_reference_table' query in the workbook." type="5" refreshedVersion="0" background="1">
    <dbPr connection="Provider=Microsoft.Mashup.OleDb.1;Data Source=$Workbook$;Location=fuel_type_reference_table;Extended Properties=&quot;&quot;" command="SELECT * FROM [fuel_type_reference_table]"/>
  </connection>
  <connection id="2" xr16:uid="{81E65908-0EDB-4DA2-BCF9-2F9B79E98F66}" keepAlive="1" name="Query - vehicle_data_cleaned" description="Connection to the 'vehicle_data_cleaned' query in the workbook." type="5" refreshedVersion="8" background="1" saveData="1">
    <dbPr connection="Provider=Microsoft.Mashup.OleDb.1;Data Source=$Workbook$;Location=vehicle_data_cleaned;Extended Properties=&quot;&quot;" command="SELECT * FROM [vehicle_data_cleaned]"/>
  </connection>
</connections>
</file>

<file path=xl/sharedStrings.xml><?xml version="1.0" encoding="utf-8"?>
<sst xmlns="http://schemas.openxmlformats.org/spreadsheetml/2006/main" count="2121" uniqueCount="84">
  <si>
    <t>State</t>
  </si>
  <si>
    <t>Electric (EV)</t>
  </si>
  <si>
    <t>Plug-In Hybrid Electric (PHEV)</t>
  </si>
  <si>
    <t>Hybrid Electric (HEV)</t>
  </si>
  <si>
    <t>Biodiesel</t>
  </si>
  <si>
    <t>Ethanol/Flex (E85)</t>
  </si>
  <si>
    <t>Compressed Natural Gas (CNG)</t>
  </si>
  <si>
    <t>Propane</t>
  </si>
  <si>
    <t>Hydrogen</t>
  </si>
  <si>
    <t>Methanol</t>
  </si>
  <si>
    <t>Gasoline</t>
  </si>
  <si>
    <t>Diesel</t>
  </si>
  <si>
    <t>Unknown Fuel</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</si>
  <si>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</si>
  <si>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</si>
  <si>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</si>
  <si>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</si>
  <si>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</si>
  <si>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</si>
  <si>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</si>
  <si>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</si>
  <si>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</si>
  <si>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</si>
  <si>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</si>
  <si>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</si>
  <si>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</si>
  <si>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</si>
  <si>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</si>
  <si>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</si>
  <si>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</si>
  <si>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</si>
  <si>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</si>
  <si>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</si>
  <si>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</si>
  <si>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</si>
  <si>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</si>
  <si>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</si>
  <si>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</si>
  <si>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</si>
  <si>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</si>
  <si>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</si>
  <si>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</si>
  <si>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</si>
  <si>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</si>
  <si>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</si>
  <si>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</si>
  <si>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</si>
  <si>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</si>
  <si>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</si>
  <si>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</si>
  <si>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</si>
  <si>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</si>
  <si>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</si>
  <si>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</si>
  <si>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</si>
  <si>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</si>
  <si>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</si>
  <si>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</si>
  <si>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</si>
  <si>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</si>
  <si>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</si>
  <si>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</si>
  <si>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</si>
  <si>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</si>
  <si>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What percentage of vehicles in each state are EVs, PHEVs, HEVs, and gasoline?</t>
  </si>
  <si>
    <t>Which states have the highest EV adoption rates, and which states lag behind?</t>
  </si>
  <si>
    <t>Which alternative fuels (biodiesel, ethanol, hydrogen) are significant vs. niche?</t>
  </si>
  <si>
    <t>Where should policymakers prioritize EV infrastructure investment based on adoption trends and gaps in support?</t>
  </si>
  <si>
    <t>Question</t>
  </si>
  <si>
    <t>State Name</t>
  </si>
  <si>
    <t>state_name</t>
  </si>
  <si>
    <t>fuel_type</t>
  </si>
  <si>
    <t>registration_count</t>
  </si>
  <si>
    <t>Column Labels</t>
  </si>
  <si>
    <t>Sum of registration_count</t>
  </si>
  <si>
    <t>EV/Non-EV</t>
  </si>
  <si>
    <t>EV</t>
  </si>
  <si>
    <t>Non-EV</t>
  </si>
  <si>
    <t>Top 5 EV Adoption Rates</t>
  </si>
  <si>
    <t>Bottom 5 EV Adoption Rates</t>
  </si>
  <si>
    <t>Percentage Of Fuel Type Dashboard</t>
  </si>
  <si>
    <t>EV Adoption Rate</t>
  </si>
  <si>
    <t>Link To Sheet</t>
  </si>
  <si>
    <t xml:space="preserve">Findings:-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</si>
</sst>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u/>
      <sz val="11"/>
      <color theme="1"/>
      <name val="Calibri"/>
      <family val="2"/>
    </font>
    <font>
      <sz val="16"/>
      <color theme="1"/>
      <name val="Calibri"/>
      <family val="2"/>
    </font>
    <font>
      <u/>
      <sz val="14"/>
      <color theme="1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double">
        <color indexed="64"/>
      </bottom>
      <diagonal/>
    </border>
  </borders>
  <cellStyleXfs count="43">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cellStyleXfs>
  <cellXfs count="51">
    <xf numFmtId="0" fontId="0" fillId="0" borderId="0" xfId="0"/>
    <xf numFmtId="0" fontId="4" fillId="0" borderId="0" xfId="0" applyFont="1"/>
    <xf numFmtId="0" fontId="4" fillId="0" borderId="10" xfId="0" applyFont="1" applyBorder="1" applyAlignment="1">
      <alignment horizontal="center"/>
    </xf>
    <xf numFmtId="3" fontId="4" fillId="0" borderId="10" xfId="0" applyNumberFormat="1" applyFont="1" applyBorder="1" applyAlignment="1">
      <alignment horizontal="center"/>
    </xf>
    <xf numFmtId="0" fontId="4" fillId="0" borderId="11" xfId="0" applyFont="1" applyBorder="1" applyAlignment="1">
      <alignment horizontal="center"/>
    </xf>
    <xf numFmtId="3" fontId="4" fillId="0" borderId="12" xfId="0" applyNumberFormat="1" applyFont="1" applyBorder="1" applyAlignment="1">
      <alignment horizontal="center"/>
    </xf>
    <xf numFmtId="0" fontId="4" fillId="0" borderId="12" xfId="0" applyFont="1" applyBorder="1" applyAlignment="1">
      <alignment horizontal="center"/>
    </xf>
    <xf numFmtId="0" fontId="4" fillId="0" borderId="16" xfId="0" applyFont="1" applyBorder="1" applyAlignment="1">
      <alignment horizontal="center"/>
    </xf>
    <xf numFmtId="3" fontId="4" fillId="0" borderId="17" xfId="0" applyNumberFormat="1" applyFont="1" applyBorder="1" applyAlignment="1">
      <alignment horizontal="center"/>
    </xf>
    <xf numFmtId="0" fontId="4" fillId="0" borderId="17" xfId="0" applyFont="1" applyBorder="1" applyAlignment="1">
      <alignment horizontal="center"/>
    </xf>
    <xf numFmtId="3" fontId="4" fillId="0" borderId="18" xfId="0" applyNumberFormat="1" applyFont="1" applyBorder="1" applyAlignment="1">
      <alignment horizontal="center"/>
    </xf>
    <xf numFmtId="3" fontId="4" fillId="0" borderId="19" xfId="0" applyNumberFormat="1" applyFont="1" applyBorder="1" applyAlignment="1">
      <alignment horizontal="center"/>
    </xf>
    <xf numFmtId="0" fontId="4" fillId="33" borderId="13" xfId="0" applyFont="1" applyFill="1" applyBorder="1" applyAlignment="1">
      <alignment horizontal="center" wrapText="1"/>
    </xf>
    <xf numFmtId="0" fontId="4" fillId="33" borderId="14" xfId="0" applyFont="1" applyFill="1" applyBorder="1" applyAlignment="1">
      <alignment horizontal="center" wrapText="1"/>
    </xf>
    <xf numFmtId="0" fontId="4" fillId="33" borderId="15" xfId="0" applyFont="1" applyFill="1" applyBorder="1" applyAlignment="1">
      <alignment horizont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0" xfId="0" pivotButton="1" applyBorder="1" applyAlignment="1">
      <alignment horizontal="center"/>
    </xf>
    <xf numFmtId="10" fontId="0" fillId="0" borderId="10" xfId="0" applyNumberFormat="1" applyBorder="1" applyAlignment="1">
      <alignment horizontal="center"/>
    </xf>
    <xf numFmtId="0" fontId="0" fillId="0" borderId="10" xfId="0" applyBorder="1" applyAlignment="1">
      <alignment horizontal="center" wrapText="1"/>
    </xf>
    <xf numFmtId="0" fontId="3" fillId="0" borderId="11" xfId="0" applyFont="1" applyBorder="1" applyAlignment="1">
      <alignment horizontal="center"/>
    </xf>
    <xf numFmtId="0" fontId="3" fillId="0" borderId="13" xfId="0" applyFont="1" applyBorder="1" applyAlignment="1">
      <alignment horizontal="center"/>
    </xf>
    <xf numFmtId="0" fontId="3" fillId="0" borderId="16" xfId="0" applyFont="1" applyBorder="1" applyAlignment="1">
      <alignment horizontal="center"/>
    </xf>
    <xf numFmtId="0" fontId="4" fillId="34" borderId="14" xfId="0" applyFont="1" applyFill="1" applyBorder="1" applyAlignment="1">
      <alignment horizontal="center" wrapText="1"/>
    </xf>
    <xf numFmtId="0" fontId="3" fillId="0" borderId="0" xfId="0" applyFont="1"/>
    <xf numFmtId="0" fontId="3" fillId="0" borderId="15" xfId="0" applyFont="1" applyBorder="1" applyAlignment="1">
      <alignment horizontal="center"/>
    </xf>
    <xf numFmtId="0" fontId="3" fillId="0" borderId="12" xfId="0" applyFont="1" applyBorder="1" applyAlignment="1">
      <alignment horizontal="center"/>
    </xf>
    <xf numFmtId="0" fontId="3" fillId="0" borderId="18" xfId="0" applyFont="1" applyBorder="1" applyAlignment="1">
      <alignment horizontal="center"/>
    </xf>
    <xf numFmtId="3" fontId="0" fillId="0" borderId="10" xfId="0" applyNumberFormat="1" applyBorder="1" applyAlignment="1">
      <alignment horizontal="center"/>
    </xf>
    <xf numFmtId="0" fontId="0" fillId="0" borderId="12" xfId="0" applyBorder="1" applyAlignment="1">
      <alignment horizontal="center"/>
    </xf>
    <xf numFmtId="3" fontId="0" fillId="0" borderId="17" xfId="0" applyNumberFormat="1" applyBorder="1" applyAlignment="1">
      <alignment horizontal="center"/>
    </xf>
    <xf numFmtId="0" fontId="0" fillId="0" borderId="18" xfId="0" applyBorder="1" applyAlignment="1">
      <alignment horizontal="center"/>
    </xf>
    <xf numFmtId="0" fontId="2" fillId="0" borderId="10" xfId="0" pivotButton="1" applyFont="1" applyBorder="1" applyAlignment="1">
      <alignment horizontal="center"/>
    </xf>
    <xf numFmtId="0" fontId="2" fillId="0" borderId="10" xfId="0" applyFont="1" applyBorder="1" applyAlignment="1">
      <alignment horizontal="center"/>
    </xf>
    <xf numFmtId="0" fontId="2" fillId="0" borderId="0" xfId="0" applyFont="1"/>
    <xf numFmtId="10" fontId="2" fillId="0" borderId="10" xfId="0" applyNumberFormat="1" applyFont="1" applyBorder="1" applyAlignment="1">
      <alignment horizontal="center"/>
    </xf>
    <xf numFmtId="0" fontId="1" fillId="0" borderId="10" xfId="0" pivotButton="1" applyFont="1" applyBorder="1" applyAlignment="1">
      <alignment horizontal="center"/>
    </xf>
    <xf numFmtId="0" fontId="1" fillId="0" borderId="10" xfId="0" applyFont="1" applyBorder="1" applyAlignment="1">
      <alignment horizontal="center"/>
    </xf>
    <xf numFmtId="10" fontId="1" fillId="0" borderId="10" xfId="0" applyNumberFormat="1" applyFont="1" applyBorder="1" applyAlignment="1">
      <alignment horizontal="center"/>
    </xf>
    <xf numFmtId="3" fontId="4" fillId="0" borderId="0" xfId="0" applyNumberFormat="1" applyFont="1"/>
    <xf numFmtId="0" fontId="23" fillId="34" borderId="10" xfId="0" applyFont="1" applyFill="1" applyBorder="1" applyAlignment="1">
      <alignment horizontal="centerContinuous"/>
    </xf>
    <xf numFmtId="0" fontId="23" fillId="35" borderId="10" xfId="0" applyFont="1" applyFill="1" applyBorder="1" applyAlignment="1">
      <alignment horizontal="centerContinuous"/>
    </xf>
    <xf numFmtId="0" fontId="24" fillId="0" borderId="10" xfId="0" applyFont="1" applyBorder="1" applyAlignment="1">
      <alignment horizontal="center"/>
    </xf>
    <xf numFmtId="0" fontId="1" fillId="0" borderId="0" xfId="0" applyFont="1"/>
    <xf numFmtId="0" fontId="24" fillId="33" borderId="10" xfId="0" applyFont="1" applyFill="1" applyBorder="1" applyAlignment="1">
      <alignment horizontal="center"/>
    </xf>
    <xf numFmtId="0" fontId="25" fillId="0" borderId="10" xfId="42" quotePrefix="1"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rgb="FFFFFF00"/>
        </patternFill>
      </fill>
      <alignment horizontal="center" vertical="bottom" textRotation="0" wrapText="1" indent="0" justifyLastLine="0" shrinkToFit="0" readingOrder="0"/>
      <border diagonalUp="0" diagonalDown="0" outline="0">
        <left style="thin">
          <color indexed="64"/>
        </left>
        <right style="thin">
          <color indexed="64"/>
        </right>
        <top/>
        <bottom/>
      </border>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[vehicle_data_final.xlsx]Large States EV Adoption!PivotTable4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'Large States EV Adoption'!$B$3:$B$4</c:f>
              <c:strCache>
                <c:ptCount val="1"/>
                <c:pt idx="0">
                  <c:v>EV</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'Large States EV Adoption'!$A$5:$A$9</c:f>
              <c:strCache>
                <c:ptCount val="5"/>
                <c:pt idx="0">
                  <c:v>California</c:v>
                </c:pt>
                <c:pt idx="1">
                  <c:v>New York</c:v>
                </c:pt>
                <c:pt idx="2">
                  <c:v>Florida</c:v>
                </c:pt>
                <c:pt idx="3">
                  <c:v>Texas</c:v>
                </c:pt>
                <c:pt idx="4">
                  <c:v>Ohio</c:v>
                </c:pt>
              </c:strCache>
            </c:strRef>
          </c:cat>
          <c:val>
            <c:numRef>
              <c:f>'Large States EV Adoption'!$B$5:$B$9</c:f>
              <c:numCache>
                <c:formatCode>0.00%</c:formatCode>
                <c:ptCount val="5"/>
                <c:pt idx="0">
                  <c:v>9.1464655647308157E-2</c:v>
                </c:pt>
                <c:pt idx="1">
                  <c:v>4.7497040269998056E-2</c:v>
                </c:pt>
                <c:pt idx="2">
                  <c:v>3.9105213310947524E-2</c:v>
                </c:pt>
                <c:pt idx="3">
                  <c:v>2.8317685276354247E-2</c:v>
                </c:pt>
                <c:pt idx="4">
                  <c:v>2.6576720653659389E-2</c:v>
                </c:pt>
              </c:numCache>
            </c:numRef>
          </c:val>
          <c:extLst>
            <c:ext xmlns:c16="http://schemas.microsoft.com/office/drawing/2014/chart" uri="{C3380CC4-5D6E-409C-BE32-E72D297353CC}">
              <c16:uniqueId val="{00000000-E28D-46A3-9B6F-CCAC932418A9}"/>
            </c:ext>
          </c:extLst>
        </c:ser>
        <c:ser>
          <c:idx val="1"/>
          <c:order val="1"/>
          <c:tx>
            <c:strRef>
              <c:f>'Large States EV Adoption'!$C$3:$C$4</c:f>
              <c:strCache>
                <c:ptCount val="1"/>
                <c:pt idx="0">
                  <c:v>Non-EV</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'Large States EV Adoption'!$A$5:$A$9</c:f>
              <c:strCache>
                <c:ptCount val="5"/>
                <c:pt idx="0">
                  <c:v>California</c:v>
                </c:pt>
                <c:pt idx="1">
                  <c:v>New York</c:v>
                </c:pt>
                <c:pt idx="2">
                  <c:v>Florida</c:v>
                </c:pt>
                <c:pt idx="3">
                  <c:v>Texas</c:v>
                </c:pt>
                <c:pt idx="4">
                  <c:v>Ohio</c:v>
                </c:pt>
              </c:strCache>
            </c:strRef>
          </c:cat>
          <c:val>
            <c:numRef>
              <c:f>'Large States EV Adoption'!$C$5:$C$9</c:f>
              <c:numCache>
                <c:formatCode>0.00%</c:formatCode>
                <c:ptCount val="5"/>
                <c:pt idx="0">
                  <c:v>0.90853534435269179</c:v>
                </c:pt>
                <c:pt idx="1">
                  <c:v>0.95250295973000199</c:v>
                </c:pt>
                <c:pt idx="2">
                  <c:v>0.96089478668905248</c:v>
                </c:pt>
                <c:pt idx="3">
                  <c:v>0.97168231472364575</c:v>
                </c:pt>
                <c:pt idx="4">
                  <c:v>0.97342327934634065</c:v>
                </c:pt>
              </c:numCache>
            </c:numRef>
          </c:val>
          <c:extLst>
            <c:ext xmlns:c16="http://schemas.microsoft.com/office/drawing/2014/chart" uri="{C3380CC4-5D6E-409C-BE32-E72D297353CC}">
              <c16:uniqueId val="{00000001-E28D-46A3-9B6F-CCAC932418A9}"/>
            </c:ext>
          </c:extLst>
        </c:ser>
        <c:dLbls>
          <c:dLblPos val="ctr"/>
          <c:showLegendKey val="0"/>
          <c:showVal val="1"/>
          <c:showCatName val="0"/>
          <c:showSerName val="0"/>
          <c:showPercent val="0"/>
          <c:showBubbleSize val="0"/>
        </c:dLbls>
        <c:gapWidth val="150"/>
        <c:overlap val="100"/>
        <c:axId val="1873521264"/>
        <c:axId val="1873529904"/>
      </c:barChart>
      <c:catAx>
        <c:axId val="1873521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3529904"/>
        <c:auto val="1"/>
        <c:lblAlgn val="ctr"/>
        <c:lblOffset val="100"/>
        <c:noMultiLvlLbl val="0"/>
      </c:catAx>
      <c:valAx>
        <c:axId val="18735299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873521264"/>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203200</xdr:colOff>
      <xdr:row>2</xdr:row>
      <xdr:rowOff>38100</xdr:rowOff>
    </xdr:from>
    <xdr:to>
      <xdr:col>10</xdr:col>
      <xdr:colOff>139700</xdr:colOff>
      <xdr:row>15</xdr:row>
      <xdr:rowOff>166153</xdr:rowOff>
    </xdr:to>
    <mc:AlternateContent xmlns:mc="http://schemas.openxmlformats.org/markup-compatibility/2006">
      <mc:Choice xmlns:a14="http://schemas.microsoft.com/office/drawing/2010/main" Requires="a14">
        <xdr:graphicFrame macro="">
          <xdr:nvGraphicFramePr>
            <xdr:cNvPr id="3" name="fuel_type">
              <a:extLst>
                <a:ext uri="{FF2B5EF4-FFF2-40B4-BE49-F238E27FC236}">
                  <a16:creationId xmlns:a16="http://schemas.microsoft.com/office/drawing/2014/main" id="{912237F1-6E52-4509-8D95-CBAA8746D300}"/>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dr:sp macro="" textlink="">
          <xdr:nvSpPr>
            <xdr:cNvPr id="0" name=""/>
            <xdr:cNvSpPr>
              <a:spLocks noTextEdit="1"/>
            </xdr:cNvSpPr>
          </xdr:nvSpPr>
          <xdr:spPr>
            <a:xfrm>
              <a:off x="5524500" y="571500"/>
              <a:ext cx="354965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234950</xdr:colOff>
      <xdr:row>1</xdr:row>
      <xdr:rowOff>0</xdr:rowOff>
    </xdr:from>
    <xdr:to>
      <xdr:col>14</xdr:col>
      <xdr:colOff>222250</xdr:colOff>
      <xdr:row>16</xdr:row>
      <xdr:rowOff>31750</xdr:rowOff>
    </xdr:to>
    <xdr:graphicFrame macro="">
      <xdr:nvGraphicFramePr>
        <xdr:cNvPr id="2" name="Chart 1">
          <a:extLst>
            <a:ext uri="{FF2B5EF4-FFF2-40B4-BE49-F238E27FC236}">
              <a16:creationId xmlns:a16="http://schemas.microsoft.com/office/drawing/2014/main" id="{93620F05-7E9A-7C73-64E9-5144517A7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de" refreshedDate="46158.721850462964" createdVersion="8" refreshedVersion="8" minRefreshableVersion="3" recordCount="612" xr:uid="{F20DF53E-070B-4AE1-A608-938C6AE5C583}">
  <cacheSource type="worksheet">
    <worksheetSource name="vehicle_data_cleaned"/>
  </cacheSource>
  <cacheFields count="4">
    <cacheField name="state_name" numFmtId="0">
      <sharedItems count="51">
        <s v="Alabama"/>
        <s v="Alaska"/>
        <s v="Arizona"/>
        <s v="Arkansas"/>
        <s v="California"/>
        <s v="Colorado"/>
        <s v="Connecticut"/>
        <s v="Delaware"/>
        <s v="District of Columbia"/>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fuel_type" numFmtId="0">
      <sharedItems count="12">
        <s v="Electric (EV)"/>
        <s v="Plug-In Hybrid Electric (PHEV)"/>
        <s v="Hybrid Electric (HEV)"/>
        <s v="Biodiesel"/>
        <s v="Ethanol/Flex (E85)"/>
        <s v="Compressed Natural Gas (CNG)"/>
        <s v="Propane"/>
        <s v="Hydrogen"/>
        <s v="Methanol"/>
        <s v="Gasoline"/>
        <s v="Diesel"/>
        <s v="Unknown Fuel"/>
      </sharedItems>
    </cacheField>
    <cacheField name="registration_count" numFmtId="3">
      <sharedItems containsSemiMixedTypes="0" containsString="0" containsNumber="1" containsInteger="1" minValue="0" maxValue="31191900" count="380">
        <n v="13000"/>
        <n v="2700"/>
        <n v="5800"/>
        <n v="63300"/>
        <n v="54200"/>
        <n v="441200"/>
        <n v="100"/>
        <n v="0"/>
        <n v="4102200"/>
        <n v="127000"/>
        <n v="29000"/>
        <n v="900"/>
        <n v="10600"/>
        <n v="9600"/>
        <n v="46800"/>
        <n v="454300"/>
        <n v="29800"/>
        <n v="5100"/>
        <n v="89800"/>
        <n v="25600"/>
        <n v="175700"/>
        <n v="68600"/>
        <n v="437100"/>
        <n v="600"/>
        <n v="700"/>
        <n v="5469000"/>
        <n v="197700"/>
        <n v="64200"/>
        <n v="7100"/>
        <n v="3200"/>
        <n v="37000"/>
        <n v="276700"/>
        <n v="200"/>
        <n v="2246100"/>
        <n v="90700"/>
        <n v="10300"/>
        <n v="1256600"/>
        <n v="410700"/>
        <n v="1703200"/>
        <n v="201600"/>
        <n v="1314600"/>
        <n v="10100"/>
        <n v="1500"/>
        <n v="16900"/>
        <n v="31191900"/>
        <n v="735300"/>
        <n v="7900"/>
        <n v="90100"/>
        <n v="37500"/>
        <n v="152700"/>
        <n v="68100"/>
        <n v="334300"/>
        <n v="300"/>
        <n v="4508800"/>
        <n v="203400"/>
        <n v="46500"/>
        <n v="31600"/>
        <n v="18400"/>
        <n v="75300"/>
        <n v="10900"/>
        <n v="133600"/>
        <n v="2612600"/>
        <n v="42300"/>
        <n v="20900"/>
        <n v="8400"/>
        <n v="3800"/>
        <n v="22900"/>
        <n v="63900"/>
        <n v="791300"/>
        <n v="14200"/>
        <n v="8100"/>
        <n v="3700"/>
        <n v="18100"/>
        <n v="400"/>
        <n v="16800"/>
        <n v="262500"/>
        <n v="1800"/>
        <n v="254900"/>
        <n v="57300"/>
        <n v="414500"/>
        <n v="170500"/>
        <n v="1101100"/>
        <n v="16136500"/>
        <n v="351800"/>
        <n v="96100"/>
        <n v="92400"/>
        <n v="22700"/>
        <n v="175300"/>
        <n v="92500"/>
        <n v="719400"/>
        <n v="8256400"/>
        <n v="206300"/>
        <n v="76900"/>
        <n v="7300"/>
        <n v="36400"/>
        <n v="3400"/>
        <n v="37300"/>
        <n v="951000"/>
        <n v="15400"/>
        <n v="8500"/>
        <n v="4600"/>
        <n v="43700"/>
        <n v="45900"/>
        <n v="132900"/>
        <n v="1568600"/>
        <n v="138600"/>
        <n v="99600"/>
        <n v="33400"/>
        <n v="285400"/>
        <n v="61500"/>
        <n v="772900"/>
        <n v="8560300"/>
        <n v="170200"/>
        <n v="59600"/>
        <n v="26100"/>
        <n v="12900"/>
        <n v="119100"/>
        <n v="56300"/>
        <n v="576300"/>
        <n v="5166200"/>
        <n v="156400"/>
        <n v="58500"/>
        <n v="9000"/>
        <n v="6100"/>
        <n v="57200"/>
        <n v="41700"/>
        <n v="331300"/>
        <n v="2545400"/>
        <n v="105000"/>
        <n v="57500"/>
        <n v="11300"/>
        <n v="5600"/>
        <n v="50400"/>
        <n v="27900"/>
        <n v="253500"/>
        <n v="2168600"/>
        <n v="87400"/>
        <n v="16100"/>
        <n v="11600"/>
        <n v="67100"/>
        <n v="36900"/>
        <n v="361200"/>
        <n v="3415000"/>
        <n v="117600"/>
        <n v="24400"/>
        <n v="8200"/>
        <n v="4000"/>
        <n v="40200"/>
        <n v="380100"/>
        <n v="3142800"/>
        <n v="115500"/>
        <n v="19100"/>
        <n v="7400"/>
        <n v="7600"/>
        <n v="33600"/>
        <n v="12000"/>
        <n v="104500"/>
        <n v="1036100"/>
        <n v="26900"/>
        <n v="72100"/>
        <n v="31300"/>
        <n v="168700"/>
        <n v="32100"/>
        <n v="309300"/>
        <n v="4327800"/>
        <n v="86900"/>
        <n v="31500"/>
        <n v="73800"/>
        <n v="43800"/>
        <n v="187300"/>
        <n v="21300"/>
        <n v="285000"/>
        <n v="4791300"/>
        <n v="58400"/>
        <n v="30000"/>
        <n v="50300"/>
        <n v="29100"/>
        <n v="148100"/>
        <n v="70400"/>
        <n v="873700"/>
        <n v="7129600"/>
        <n v="174500"/>
        <n v="49400"/>
        <n v="37100"/>
        <n v="124500"/>
        <n v="52700"/>
        <n v="516400"/>
        <n v="4219200"/>
        <n v="127900"/>
        <n v="24500"/>
        <n v="3600"/>
        <n v="2000"/>
        <n v="28200"/>
        <n v="34900"/>
        <n v="295200"/>
        <n v="2275600"/>
        <n v="75200"/>
        <n v="13900"/>
        <n v="113900"/>
        <n v="575500"/>
        <n v="4608600"/>
        <n v="178200"/>
        <n v="37600"/>
        <n v="2500"/>
        <n v="21100"/>
        <n v="37900"/>
        <n v="94500"/>
        <n v="780700"/>
        <n v="69600"/>
        <n v="10800"/>
        <n v="6900"/>
        <n v="32600"/>
        <n v="28900"/>
        <n v="197100"/>
        <n v="1600400"/>
        <n v="76100"/>
        <n v="25300"/>
        <n v="47400"/>
        <n v="27200"/>
        <n v="125600"/>
        <n v="2169300"/>
        <n v="85800"/>
        <n v="20300"/>
        <n v="9900"/>
        <n v="6600"/>
        <n v="36800"/>
        <n v="89600"/>
        <n v="1185300"/>
        <n v="29200"/>
        <n v="12300"/>
        <n v="134800"/>
        <n v="40900"/>
        <n v="174200"/>
        <n v="27800"/>
        <n v="392100"/>
        <n v="6433000"/>
        <n v="84600"/>
        <n v="4900"/>
        <n v="44300"/>
        <n v="151600"/>
        <n v="1597600"/>
        <n v="88500"/>
        <n v="131300"/>
        <n v="92300"/>
        <n v="314000"/>
        <n v="54300"/>
        <n v="591100"/>
        <n v="9905500"/>
        <n v="150500"/>
        <n v="79100"/>
        <n v="70200"/>
        <n v="23700"/>
        <n v="210600"/>
        <n v="80200"/>
        <n v="655000"/>
        <n v="7764000"/>
        <n v="209700"/>
        <n v="71700"/>
        <n v="1000"/>
        <n v="800"/>
        <n v="20400"/>
        <n v="89900"/>
        <n v="625300"/>
        <n v="44600"/>
        <n v="7200"/>
        <n v="24000"/>
        <n v="199800"/>
        <n v="70300"/>
        <n v="833500"/>
        <n v="8881400"/>
        <n v="196200"/>
        <n v="60900"/>
        <n v="22800"/>
        <n v="33000"/>
        <n v="56400"/>
        <n v="63100"/>
        <n v="352400"/>
        <n v="3567500"/>
        <n v="145700"/>
        <n v="45000"/>
        <n v="64400"/>
        <n v="28800"/>
        <n v="156900"/>
        <n v="55500"/>
        <n v="184600"/>
        <n v="3074300"/>
        <n v="217000"/>
        <n v="51000"/>
        <n v="38900"/>
        <n v="245400"/>
        <n v="73900"/>
        <n v="661700"/>
        <n v="500"/>
        <n v="8886400"/>
        <n v="192100"/>
        <n v="41800"/>
        <n v="6400"/>
        <n v="22100"/>
        <n v="3100"/>
        <n v="41900"/>
        <n v="782000"/>
        <n v="11000"/>
        <n v="6000"/>
        <n v="83100"/>
        <n v="404600"/>
        <n v="4325000"/>
        <n v="110100"/>
        <n v="44900"/>
        <n v="1700"/>
        <n v="1300"/>
        <n v="11900"/>
        <n v="21500"/>
        <n v="98800"/>
        <n v="718300"/>
        <n v="51200"/>
        <n v="13300"/>
        <n v="33200"/>
        <n v="113300"/>
        <n v="53100"/>
        <n v="509000"/>
        <n v="5620500"/>
        <n v="160700"/>
        <n v="37700"/>
        <n v="230100"/>
        <n v="55300"/>
        <n v="445100"/>
        <n v="460700"/>
        <n v="2315400"/>
        <n v="21392800"/>
        <n v="772800"/>
        <n v="121800"/>
        <n v="40000"/>
        <n v="83200"/>
        <n v="68500"/>
        <n v="185200"/>
        <n v="2200"/>
        <n v="2499600"/>
        <n v="158000"/>
        <n v="26000"/>
        <n v="7800"/>
        <n v="5700"/>
        <n v="7000"/>
        <n v="36600"/>
        <n v="496000"/>
        <n v="14700"/>
        <n v="5000"/>
        <n v="84900"/>
        <n v="26800"/>
        <n v="229400"/>
        <n v="484800"/>
        <n v="6670000"/>
        <n v="152800"/>
        <n v="30200"/>
        <n v="152100"/>
        <n v="41200"/>
        <n v="307200"/>
        <n v="337700"/>
        <n v="5583000"/>
        <n v="274200"/>
        <n v="46700"/>
        <n v="2800"/>
        <n v="22400"/>
        <n v="17300"/>
        <n v="123400"/>
        <n v="1281500"/>
        <n v="46400"/>
        <n v="15200"/>
        <n v="24900"/>
        <n v="12500"/>
        <n v="123600"/>
        <n v="52900"/>
        <n v="536200"/>
        <n v="4604700"/>
        <n v="147500"/>
        <n v="26400"/>
        <n v="1100"/>
        <n v="21200"/>
        <n v="57700"/>
        <n v="489100"/>
        <n v="13700"/>
      </sharedItems>
    </cacheField>
    <cacheField name="EV/Non-EV" numFmtId="0">
      <sharedItems count="2">
        <s v="EV"/>
        <s v="Non-EV"/>
      </sharedItems>
    </cacheField>
  </cacheFields>
  <extLst>
    <ext xmlns:x14="http://schemas.microsoft.com/office/spreadsheetml/2009/9/main" uri="{725AE2AE-9491-48be-B2B4-4EB974FC3084}">
      <x14:pivotCacheDefinition pivotCacheId="30480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2">
  <r>
    <x v="0"/>
    <x v="0"/>
    <x v="0"/>
    <x v="0"/>
  </r>
  <r>
    <x v="1"/>
    <x v="0"/>
    <x v="1"/>
    <x v="0"/>
  </r>
  <r>
    <x v="0"/>
    <x v="1"/>
    <x v="2"/>
    <x v="0"/>
  </r>
  <r>
    <x v="0"/>
    <x v="2"/>
    <x v="3"/>
    <x v="0"/>
  </r>
  <r>
    <x v="0"/>
    <x v="3"/>
    <x v="4"/>
    <x v="1"/>
  </r>
  <r>
    <x v="0"/>
    <x v="4"/>
    <x v="5"/>
    <x v="1"/>
  </r>
  <r>
    <x v="0"/>
    <x v="5"/>
    <x v="6"/>
    <x v="1"/>
  </r>
  <r>
    <x v="0"/>
    <x v="6"/>
    <x v="6"/>
    <x v="1"/>
  </r>
  <r>
    <x v="0"/>
    <x v="7"/>
    <x v="7"/>
    <x v="1"/>
  </r>
  <r>
    <x v="0"/>
    <x v="8"/>
    <x v="7"/>
    <x v="1"/>
  </r>
  <r>
    <x v="0"/>
    <x v="9"/>
    <x v="8"/>
    <x v="1"/>
  </r>
  <r>
    <x v="0"/>
    <x v="10"/>
    <x v="9"/>
    <x v="1"/>
  </r>
  <r>
    <x v="0"/>
    <x v="11"/>
    <x v="10"/>
    <x v="1"/>
  </r>
  <r>
    <x v="1"/>
    <x v="1"/>
    <x v="11"/>
    <x v="0"/>
  </r>
  <r>
    <x v="1"/>
    <x v="2"/>
    <x v="12"/>
    <x v="0"/>
  </r>
  <r>
    <x v="1"/>
    <x v="3"/>
    <x v="13"/>
    <x v="1"/>
  </r>
  <r>
    <x v="1"/>
    <x v="4"/>
    <x v="14"/>
    <x v="1"/>
  </r>
  <r>
    <x v="1"/>
    <x v="5"/>
    <x v="7"/>
    <x v="1"/>
  </r>
  <r>
    <x v="1"/>
    <x v="6"/>
    <x v="7"/>
    <x v="1"/>
  </r>
  <r>
    <x v="1"/>
    <x v="7"/>
    <x v="7"/>
    <x v="1"/>
  </r>
  <r>
    <x v="1"/>
    <x v="8"/>
    <x v="7"/>
    <x v="1"/>
  </r>
  <r>
    <x v="1"/>
    <x v="9"/>
    <x v="15"/>
    <x v="1"/>
  </r>
  <r>
    <x v="1"/>
    <x v="10"/>
    <x v="16"/>
    <x v="1"/>
  </r>
  <r>
    <x v="1"/>
    <x v="11"/>
    <x v="17"/>
    <x v="1"/>
  </r>
  <r>
    <x v="2"/>
    <x v="0"/>
    <x v="18"/>
    <x v="0"/>
  </r>
  <r>
    <x v="2"/>
    <x v="1"/>
    <x v="19"/>
    <x v="0"/>
  </r>
  <r>
    <x v="2"/>
    <x v="2"/>
    <x v="20"/>
    <x v="0"/>
  </r>
  <r>
    <x v="2"/>
    <x v="3"/>
    <x v="21"/>
    <x v="1"/>
  </r>
  <r>
    <x v="2"/>
    <x v="4"/>
    <x v="22"/>
    <x v="1"/>
  </r>
  <r>
    <x v="2"/>
    <x v="5"/>
    <x v="23"/>
    <x v="1"/>
  </r>
  <r>
    <x v="2"/>
    <x v="6"/>
    <x v="24"/>
    <x v="1"/>
  </r>
  <r>
    <x v="2"/>
    <x v="7"/>
    <x v="7"/>
    <x v="1"/>
  </r>
  <r>
    <x v="2"/>
    <x v="8"/>
    <x v="7"/>
    <x v="1"/>
  </r>
  <r>
    <x v="2"/>
    <x v="9"/>
    <x v="25"/>
    <x v="1"/>
  </r>
  <r>
    <x v="2"/>
    <x v="10"/>
    <x v="26"/>
    <x v="1"/>
  </r>
  <r>
    <x v="2"/>
    <x v="11"/>
    <x v="27"/>
    <x v="1"/>
  </r>
  <r>
    <x v="3"/>
    <x v="0"/>
    <x v="28"/>
    <x v="0"/>
  </r>
  <r>
    <x v="3"/>
    <x v="1"/>
    <x v="29"/>
    <x v="0"/>
  </r>
  <r>
    <x v="3"/>
    <x v="2"/>
    <x v="30"/>
    <x v="0"/>
  </r>
  <r>
    <x v="3"/>
    <x v="3"/>
    <x v="30"/>
    <x v="1"/>
  </r>
  <r>
    <x v="3"/>
    <x v="4"/>
    <x v="31"/>
    <x v="1"/>
  </r>
  <r>
    <x v="3"/>
    <x v="5"/>
    <x v="32"/>
    <x v="1"/>
  </r>
  <r>
    <x v="3"/>
    <x v="6"/>
    <x v="7"/>
    <x v="1"/>
  </r>
  <r>
    <x v="3"/>
    <x v="7"/>
    <x v="7"/>
    <x v="1"/>
  </r>
  <r>
    <x v="3"/>
    <x v="8"/>
    <x v="7"/>
    <x v="1"/>
  </r>
  <r>
    <x v="3"/>
    <x v="9"/>
    <x v="33"/>
    <x v="1"/>
  </r>
  <r>
    <x v="3"/>
    <x v="10"/>
    <x v="34"/>
    <x v="1"/>
  </r>
  <r>
    <x v="3"/>
    <x v="11"/>
    <x v="35"/>
    <x v="1"/>
  </r>
  <r>
    <x v="4"/>
    <x v="0"/>
    <x v="36"/>
    <x v="0"/>
  </r>
  <r>
    <x v="4"/>
    <x v="1"/>
    <x v="37"/>
    <x v="0"/>
  </r>
  <r>
    <x v="4"/>
    <x v="2"/>
    <x v="38"/>
    <x v="0"/>
  </r>
  <r>
    <x v="4"/>
    <x v="3"/>
    <x v="39"/>
    <x v="1"/>
  </r>
  <r>
    <x v="4"/>
    <x v="4"/>
    <x v="40"/>
    <x v="1"/>
  </r>
  <r>
    <x v="4"/>
    <x v="5"/>
    <x v="41"/>
    <x v="1"/>
  </r>
  <r>
    <x v="4"/>
    <x v="6"/>
    <x v="42"/>
    <x v="1"/>
  </r>
  <r>
    <x v="4"/>
    <x v="7"/>
    <x v="43"/>
    <x v="1"/>
  </r>
  <r>
    <x v="4"/>
    <x v="8"/>
    <x v="7"/>
    <x v="1"/>
  </r>
  <r>
    <x v="4"/>
    <x v="9"/>
    <x v="44"/>
    <x v="1"/>
  </r>
  <r>
    <x v="4"/>
    <x v="10"/>
    <x v="45"/>
    <x v="1"/>
  </r>
  <r>
    <x v="4"/>
    <x v="11"/>
    <x v="46"/>
    <x v="1"/>
  </r>
  <r>
    <x v="5"/>
    <x v="0"/>
    <x v="47"/>
    <x v="0"/>
  </r>
  <r>
    <x v="5"/>
    <x v="1"/>
    <x v="48"/>
    <x v="0"/>
  </r>
  <r>
    <x v="5"/>
    <x v="2"/>
    <x v="49"/>
    <x v="0"/>
  </r>
  <r>
    <x v="5"/>
    <x v="3"/>
    <x v="50"/>
    <x v="1"/>
  </r>
  <r>
    <x v="5"/>
    <x v="4"/>
    <x v="51"/>
    <x v="1"/>
  </r>
  <r>
    <x v="5"/>
    <x v="5"/>
    <x v="52"/>
    <x v="1"/>
  </r>
  <r>
    <x v="5"/>
    <x v="6"/>
    <x v="6"/>
    <x v="1"/>
  </r>
  <r>
    <x v="5"/>
    <x v="7"/>
    <x v="7"/>
    <x v="1"/>
  </r>
  <r>
    <x v="5"/>
    <x v="8"/>
    <x v="7"/>
    <x v="1"/>
  </r>
  <r>
    <x v="5"/>
    <x v="9"/>
    <x v="53"/>
    <x v="1"/>
  </r>
  <r>
    <x v="5"/>
    <x v="10"/>
    <x v="54"/>
    <x v="1"/>
  </r>
  <r>
    <x v="5"/>
    <x v="11"/>
    <x v="55"/>
    <x v="1"/>
  </r>
  <r>
    <x v="6"/>
    <x v="0"/>
    <x v="56"/>
    <x v="0"/>
  </r>
  <r>
    <x v="6"/>
    <x v="1"/>
    <x v="57"/>
    <x v="0"/>
  </r>
  <r>
    <x v="6"/>
    <x v="2"/>
    <x v="58"/>
    <x v="0"/>
  </r>
  <r>
    <x v="6"/>
    <x v="3"/>
    <x v="59"/>
    <x v="1"/>
  </r>
  <r>
    <x v="6"/>
    <x v="4"/>
    <x v="60"/>
    <x v="1"/>
  </r>
  <r>
    <x v="6"/>
    <x v="5"/>
    <x v="6"/>
    <x v="1"/>
  </r>
  <r>
    <x v="6"/>
    <x v="6"/>
    <x v="7"/>
    <x v="1"/>
  </r>
  <r>
    <x v="6"/>
    <x v="7"/>
    <x v="7"/>
    <x v="1"/>
  </r>
  <r>
    <x v="6"/>
    <x v="8"/>
    <x v="7"/>
    <x v="1"/>
  </r>
  <r>
    <x v="6"/>
    <x v="9"/>
    <x v="61"/>
    <x v="1"/>
  </r>
  <r>
    <x v="6"/>
    <x v="10"/>
    <x v="62"/>
    <x v="1"/>
  </r>
  <r>
    <x v="6"/>
    <x v="11"/>
    <x v="63"/>
    <x v="1"/>
  </r>
  <r>
    <x v="7"/>
    <x v="0"/>
    <x v="64"/>
    <x v="0"/>
  </r>
  <r>
    <x v="7"/>
    <x v="1"/>
    <x v="65"/>
    <x v="0"/>
  </r>
  <r>
    <x v="7"/>
    <x v="2"/>
    <x v="66"/>
    <x v="0"/>
  </r>
  <r>
    <x v="7"/>
    <x v="3"/>
    <x v="17"/>
    <x v="1"/>
  </r>
  <r>
    <x v="7"/>
    <x v="4"/>
    <x v="67"/>
    <x v="1"/>
  </r>
  <r>
    <x v="7"/>
    <x v="5"/>
    <x v="7"/>
    <x v="1"/>
  </r>
  <r>
    <x v="7"/>
    <x v="6"/>
    <x v="7"/>
    <x v="1"/>
  </r>
  <r>
    <x v="7"/>
    <x v="7"/>
    <x v="7"/>
    <x v="1"/>
  </r>
  <r>
    <x v="7"/>
    <x v="8"/>
    <x v="7"/>
    <x v="1"/>
  </r>
  <r>
    <x v="7"/>
    <x v="9"/>
    <x v="68"/>
    <x v="1"/>
  </r>
  <r>
    <x v="7"/>
    <x v="10"/>
    <x v="69"/>
    <x v="1"/>
  </r>
  <r>
    <x v="7"/>
    <x v="11"/>
    <x v="17"/>
    <x v="1"/>
  </r>
  <r>
    <x v="8"/>
    <x v="0"/>
    <x v="70"/>
    <x v="0"/>
  </r>
  <r>
    <x v="8"/>
    <x v="1"/>
    <x v="71"/>
    <x v="0"/>
  </r>
  <r>
    <x v="8"/>
    <x v="2"/>
    <x v="72"/>
    <x v="0"/>
  </r>
  <r>
    <x v="8"/>
    <x v="3"/>
    <x v="73"/>
    <x v="1"/>
  </r>
  <r>
    <x v="8"/>
    <x v="4"/>
    <x v="74"/>
    <x v="1"/>
  </r>
  <r>
    <x v="8"/>
    <x v="5"/>
    <x v="6"/>
    <x v="1"/>
  </r>
  <r>
    <x v="8"/>
    <x v="6"/>
    <x v="7"/>
    <x v="1"/>
  </r>
  <r>
    <x v="8"/>
    <x v="7"/>
    <x v="7"/>
    <x v="1"/>
  </r>
  <r>
    <x v="8"/>
    <x v="8"/>
    <x v="7"/>
    <x v="1"/>
  </r>
  <r>
    <x v="8"/>
    <x v="9"/>
    <x v="75"/>
    <x v="1"/>
  </r>
  <r>
    <x v="8"/>
    <x v="10"/>
    <x v="76"/>
    <x v="1"/>
  </r>
  <r>
    <x v="8"/>
    <x v="11"/>
    <x v="23"/>
    <x v="1"/>
  </r>
  <r>
    <x v="9"/>
    <x v="0"/>
    <x v="77"/>
    <x v="0"/>
  </r>
  <r>
    <x v="9"/>
    <x v="1"/>
    <x v="78"/>
    <x v="0"/>
  </r>
  <r>
    <x v="9"/>
    <x v="2"/>
    <x v="79"/>
    <x v="0"/>
  </r>
  <r>
    <x v="9"/>
    <x v="3"/>
    <x v="80"/>
    <x v="1"/>
  </r>
  <r>
    <x v="9"/>
    <x v="4"/>
    <x v="81"/>
    <x v="1"/>
  </r>
  <r>
    <x v="9"/>
    <x v="5"/>
    <x v="73"/>
    <x v="1"/>
  </r>
  <r>
    <x v="9"/>
    <x v="6"/>
    <x v="6"/>
    <x v="1"/>
  </r>
  <r>
    <x v="9"/>
    <x v="7"/>
    <x v="7"/>
    <x v="1"/>
  </r>
  <r>
    <x v="9"/>
    <x v="8"/>
    <x v="7"/>
    <x v="1"/>
  </r>
  <r>
    <x v="9"/>
    <x v="9"/>
    <x v="82"/>
    <x v="1"/>
  </r>
  <r>
    <x v="9"/>
    <x v="10"/>
    <x v="83"/>
    <x v="1"/>
  </r>
  <r>
    <x v="9"/>
    <x v="11"/>
    <x v="84"/>
    <x v="1"/>
  </r>
  <r>
    <x v="10"/>
    <x v="0"/>
    <x v="85"/>
    <x v="0"/>
  </r>
  <r>
    <x v="10"/>
    <x v="1"/>
    <x v="86"/>
    <x v="0"/>
  </r>
  <r>
    <x v="10"/>
    <x v="2"/>
    <x v="87"/>
    <x v="0"/>
  </r>
  <r>
    <x v="10"/>
    <x v="3"/>
    <x v="88"/>
    <x v="1"/>
  </r>
  <r>
    <x v="10"/>
    <x v="4"/>
    <x v="89"/>
    <x v="1"/>
  </r>
  <r>
    <x v="10"/>
    <x v="5"/>
    <x v="52"/>
    <x v="1"/>
  </r>
  <r>
    <x v="10"/>
    <x v="6"/>
    <x v="32"/>
    <x v="1"/>
  </r>
  <r>
    <x v="10"/>
    <x v="7"/>
    <x v="7"/>
    <x v="1"/>
  </r>
  <r>
    <x v="10"/>
    <x v="8"/>
    <x v="7"/>
    <x v="1"/>
  </r>
  <r>
    <x v="10"/>
    <x v="9"/>
    <x v="90"/>
    <x v="1"/>
  </r>
  <r>
    <x v="10"/>
    <x v="10"/>
    <x v="91"/>
    <x v="1"/>
  </r>
  <r>
    <x v="10"/>
    <x v="11"/>
    <x v="92"/>
    <x v="1"/>
  </r>
  <r>
    <x v="11"/>
    <x v="0"/>
    <x v="19"/>
    <x v="0"/>
  </r>
  <r>
    <x v="11"/>
    <x v="1"/>
    <x v="93"/>
    <x v="0"/>
  </r>
  <r>
    <x v="11"/>
    <x v="2"/>
    <x v="94"/>
    <x v="0"/>
  </r>
  <r>
    <x v="11"/>
    <x v="3"/>
    <x v="95"/>
    <x v="1"/>
  </r>
  <r>
    <x v="11"/>
    <x v="4"/>
    <x v="96"/>
    <x v="1"/>
  </r>
  <r>
    <x v="11"/>
    <x v="5"/>
    <x v="7"/>
    <x v="1"/>
  </r>
  <r>
    <x v="11"/>
    <x v="6"/>
    <x v="7"/>
    <x v="1"/>
  </r>
  <r>
    <x v="11"/>
    <x v="7"/>
    <x v="7"/>
    <x v="1"/>
  </r>
  <r>
    <x v="11"/>
    <x v="8"/>
    <x v="7"/>
    <x v="1"/>
  </r>
  <r>
    <x v="11"/>
    <x v="9"/>
    <x v="97"/>
    <x v="1"/>
  </r>
  <r>
    <x v="11"/>
    <x v="10"/>
    <x v="98"/>
    <x v="1"/>
  </r>
  <r>
    <x v="11"/>
    <x v="11"/>
    <x v="71"/>
    <x v="1"/>
  </r>
  <r>
    <x v="12"/>
    <x v="0"/>
    <x v="99"/>
    <x v="0"/>
  </r>
  <r>
    <x v="12"/>
    <x v="1"/>
    <x v="100"/>
    <x v="0"/>
  </r>
  <r>
    <x v="12"/>
    <x v="2"/>
    <x v="101"/>
    <x v="0"/>
  </r>
  <r>
    <x v="12"/>
    <x v="3"/>
    <x v="102"/>
    <x v="1"/>
  </r>
  <r>
    <x v="12"/>
    <x v="4"/>
    <x v="103"/>
    <x v="1"/>
  </r>
  <r>
    <x v="12"/>
    <x v="5"/>
    <x v="6"/>
    <x v="1"/>
  </r>
  <r>
    <x v="12"/>
    <x v="6"/>
    <x v="6"/>
    <x v="1"/>
  </r>
  <r>
    <x v="12"/>
    <x v="7"/>
    <x v="7"/>
    <x v="1"/>
  </r>
  <r>
    <x v="12"/>
    <x v="8"/>
    <x v="7"/>
    <x v="1"/>
  </r>
  <r>
    <x v="12"/>
    <x v="9"/>
    <x v="104"/>
    <x v="1"/>
  </r>
  <r>
    <x v="12"/>
    <x v="10"/>
    <x v="105"/>
    <x v="1"/>
  </r>
  <r>
    <x v="12"/>
    <x v="11"/>
    <x v="56"/>
    <x v="1"/>
  </r>
  <r>
    <x v="13"/>
    <x v="0"/>
    <x v="106"/>
    <x v="0"/>
  </r>
  <r>
    <x v="13"/>
    <x v="1"/>
    <x v="107"/>
    <x v="0"/>
  </r>
  <r>
    <x v="13"/>
    <x v="2"/>
    <x v="108"/>
    <x v="0"/>
  </r>
  <r>
    <x v="13"/>
    <x v="3"/>
    <x v="109"/>
    <x v="1"/>
  </r>
  <r>
    <x v="13"/>
    <x v="4"/>
    <x v="110"/>
    <x v="1"/>
  </r>
  <r>
    <x v="13"/>
    <x v="5"/>
    <x v="52"/>
    <x v="1"/>
  </r>
  <r>
    <x v="13"/>
    <x v="6"/>
    <x v="7"/>
    <x v="1"/>
  </r>
  <r>
    <x v="13"/>
    <x v="7"/>
    <x v="7"/>
    <x v="1"/>
  </r>
  <r>
    <x v="13"/>
    <x v="8"/>
    <x v="7"/>
    <x v="1"/>
  </r>
  <r>
    <x v="13"/>
    <x v="9"/>
    <x v="111"/>
    <x v="1"/>
  </r>
  <r>
    <x v="13"/>
    <x v="10"/>
    <x v="112"/>
    <x v="1"/>
  </r>
  <r>
    <x v="13"/>
    <x v="11"/>
    <x v="113"/>
    <x v="1"/>
  </r>
  <r>
    <x v="14"/>
    <x v="0"/>
    <x v="114"/>
    <x v="0"/>
  </r>
  <r>
    <x v="14"/>
    <x v="1"/>
    <x v="115"/>
    <x v="0"/>
  </r>
  <r>
    <x v="14"/>
    <x v="2"/>
    <x v="116"/>
    <x v="0"/>
  </r>
  <r>
    <x v="14"/>
    <x v="3"/>
    <x v="117"/>
    <x v="1"/>
  </r>
  <r>
    <x v="14"/>
    <x v="4"/>
    <x v="118"/>
    <x v="1"/>
  </r>
  <r>
    <x v="14"/>
    <x v="5"/>
    <x v="52"/>
    <x v="1"/>
  </r>
  <r>
    <x v="14"/>
    <x v="6"/>
    <x v="7"/>
    <x v="1"/>
  </r>
  <r>
    <x v="14"/>
    <x v="7"/>
    <x v="7"/>
    <x v="1"/>
  </r>
  <r>
    <x v="14"/>
    <x v="8"/>
    <x v="7"/>
    <x v="1"/>
  </r>
  <r>
    <x v="14"/>
    <x v="9"/>
    <x v="119"/>
    <x v="1"/>
  </r>
  <r>
    <x v="14"/>
    <x v="10"/>
    <x v="120"/>
    <x v="1"/>
  </r>
  <r>
    <x v="14"/>
    <x v="11"/>
    <x v="121"/>
    <x v="1"/>
  </r>
  <r>
    <x v="15"/>
    <x v="0"/>
    <x v="122"/>
    <x v="0"/>
  </r>
  <r>
    <x v="15"/>
    <x v="1"/>
    <x v="123"/>
    <x v="0"/>
  </r>
  <r>
    <x v="15"/>
    <x v="2"/>
    <x v="124"/>
    <x v="0"/>
  </r>
  <r>
    <x v="15"/>
    <x v="3"/>
    <x v="125"/>
    <x v="1"/>
  </r>
  <r>
    <x v="15"/>
    <x v="4"/>
    <x v="126"/>
    <x v="1"/>
  </r>
  <r>
    <x v="15"/>
    <x v="5"/>
    <x v="6"/>
    <x v="1"/>
  </r>
  <r>
    <x v="15"/>
    <x v="6"/>
    <x v="7"/>
    <x v="1"/>
  </r>
  <r>
    <x v="15"/>
    <x v="7"/>
    <x v="7"/>
    <x v="1"/>
  </r>
  <r>
    <x v="15"/>
    <x v="8"/>
    <x v="7"/>
    <x v="1"/>
  </r>
  <r>
    <x v="15"/>
    <x v="9"/>
    <x v="127"/>
    <x v="1"/>
  </r>
  <r>
    <x v="15"/>
    <x v="10"/>
    <x v="128"/>
    <x v="1"/>
  </r>
  <r>
    <x v="15"/>
    <x v="11"/>
    <x v="129"/>
    <x v="1"/>
  </r>
  <r>
    <x v="16"/>
    <x v="0"/>
    <x v="130"/>
    <x v="0"/>
  </r>
  <r>
    <x v="16"/>
    <x v="1"/>
    <x v="131"/>
    <x v="0"/>
  </r>
  <r>
    <x v="16"/>
    <x v="2"/>
    <x v="132"/>
    <x v="0"/>
  </r>
  <r>
    <x v="16"/>
    <x v="3"/>
    <x v="133"/>
    <x v="1"/>
  </r>
  <r>
    <x v="16"/>
    <x v="4"/>
    <x v="134"/>
    <x v="1"/>
  </r>
  <r>
    <x v="16"/>
    <x v="5"/>
    <x v="32"/>
    <x v="1"/>
  </r>
  <r>
    <x v="16"/>
    <x v="6"/>
    <x v="6"/>
    <x v="1"/>
  </r>
  <r>
    <x v="16"/>
    <x v="7"/>
    <x v="7"/>
    <x v="1"/>
  </r>
  <r>
    <x v="16"/>
    <x v="8"/>
    <x v="7"/>
    <x v="1"/>
  </r>
  <r>
    <x v="16"/>
    <x v="9"/>
    <x v="135"/>
    <x v="1"/>
  </r>
  <r>
    <x v="16"/>
    <x v="10"/>
    <x v="136"/>
    <x v="1"/>
  </r>
  <r>
    <x v="16"/>
    <x v="11"/>
    <x v="137"/>
    <x v="1"/>
  </r>
  <r>
    <x v="17"/>
    <x v="0"/>
    <x v="138"/>
    <x v="0"/>
  </r>
  <r>
    <x v="17"/>
    <x v="1"/>
    <x v="131"/>
    <x v="0"/>
  </r>
  <r>
    <x v="17"/>
    <x v="2"/>
    <x v="139"/>
    <x v="0"/>
  </r>
  <r>
    <x v="17"/>
    <x v="3"/>
    <x v="140"/>
    <x v="1"/>
  </r>
  <r>
    <x v="17"/>
    <x v="4"/>
    <x v="141"/>
    <x v="1"/>
  </r>
  <r>
    <x v="17"/>
    <x v="5"/>
    <x v="52"/>
    <x v="1"/>
  </r>
  <r>
    <x v="17"/>
    <x v="6"/>
    <x v="7"/>
    <x v="1"/>
  </r>
  <r>
    <x v="17"/>
    <x v="7"/>
    <x v="7"/>
    <x v="1"/>
  </r>
  <r>
    <x v="17"/>
    <x v="8"/>
    <x v="7"/>
    <x v="1"/>
  </r>
  <r>
    <x v="17"/>
    <x v="9"/>
    <x v="142"/>
    <x v="1"/>
  </r>
  <r>
    <x v="17"/>
    <x v="10"/>
    <x v="143"/>
    <x v="1"/>
  </r>
  <r>
    <x v="17"/>
    <x v="11"/>
    <x v="144"/>
    <x v="1"/>
  </r>
  <r>
    <x v="18"/>
    <x v="0"/>
    <x v="145"/>
    <x v="0"/>
  </r>
  <r>
    <x v="18"/>
    <x v="1"/>
    <x v="146"/>
    <x v="0"/>
  </r>
  <r>
    <x v="18"/>
    <x v="2"/>
    <x v="147"/>
    <x v="0"/>
  </r>
  <r>
    <x v="18"/>
    <x v="3"/>
    <x v="27"/>
    <x v="1"/>
  </r>
  <r>
    <x v="18"/>
    <x v="4"/>
    <x v="148"/>
    <x v="1"/>
  </r>
  <r>
    <x v="18"/>
    <x v="5"/>
    <x v="6"/>
    <x v="1"/>
  </r>
  <r>
    <x v="18"/>
    <x v="6"/>
    <x v="7"/>
    <x v="1"/>
  </r>
  <r>
    <x v="18"/>
    <x v="7"/>
    <x v="7"/>
    <x v="1"/>
  </r>
  <r>
    <x v="18"/>
    <x v="8"/>
    <x v="7"/>
    <x v="1"/>
  </r>
  <r>
    <x v="18"/>
    <x v="9"/>
    <x v="149"/>
    <x v="1"/>
  </r>
  <r>
    <x v="18"/>
    <x v="10"/>
    <x v="150"/>
    <x v="1"/>
  </r>
  <r>
    <x v="18"/>
    <x v="11"/>
    <x v="151"/>
    <x v="1"/>
  </r>
  <r>
    <x v="19"/>
    <x v="0"/>
    <x v="152"/>
    <x v="0"/>
  </r>
  <r>
    <x v="19"/>
    <x v="1"/>
    <x v="153"/>
    <x v="0"/>
  </r>
  <r>
    <x v="19"/>
    <x v="2"/>
    <x v="154"/>
    <x v="0"/>
  </r>
  <r>
    <x v="19"/>
    <x v="3"/>
    <x v="155"/>
    <x v="1"/>
  </r>
  <r>
    <x v="19"/>
    <x v="4"/>
    <x v="156"/>
    <x v="1"/>
  </r>
  <r>
    <x v="19"/>
    <x v="5"/>
    <x v="7"/>
    <x v="1"/>
  </r>
  <r>
    <x v="19"/>
    <x v="6"/>
    <x v="7"/>
    <x v="1"/>
  </r>
  <r>
    <x v="19"/>
    <x v="7"/>
    <x v="7"/>
    <x v="1"/>
  </r>
  <r>
    <x v="19"/>
    <x v="8"/>
    <x v="7"/>
    <x v="1"/>
  </r>
  <r>
    <x v="19"/>
    <x v="9"/>
    <x v="157"/>
    <x v="1"/>
  </r>
  <r>
    <x v="19"/>
    <x v="10"/>
    <x v="158"/>
    <x v="1"/>
  </r>
  <r>
    <x v="19"/>
    <x v="11"/>
    <x v="46"/>
    <x v="1"/>
  </r>
  <r>
    <x v="20"/>
    <x v="0"/>
    <x v="159"/>
    <x v="0"/>
  </r>
  <r>
    <x v="20"/>
    <x v="1"/>
    <x v="160"/>
    <x v="0"/>
  </r>
  <r>
    <x v="20"/>
    <x v="2"/>
    <x v="161"/>
    <x v="0"/>
  </r>
  <r>
    <x v="20"/>
    <x v="3"/>
    <x v="162"/>
    <x v="1"/>
  </r>
  <r>
    <x v="20"/>
    <x v="4"/>
    <x v="163"/>
    <x v="1"/>
  </r>
  <r>
    <x v="20"/>
    <x v="5"/>
    <x v="52"/>
    <x v="1"/>
  </r>
  <r>
    <x v="20"/>
    <x v="6"/>
    <x v="7"/>
    <x v="1"/>
  </r>
  <r>
    <x v="20"/>
    <x v="7"/>
    <x v="7"/>
    <x v="1"/>
  </r>
  <r>
    <x v="20"/>
    <x v="8"/>
    <x v="7"/>
    <x v="1"/>
  </r>
  <r>
    <x v="20"/>
    <x v="9"/>
    <x v="164"/>
    <x v="1"/>
  </r>
  <r>
    <x v="20"/>
    <x v="10"/>
    <x v="165"/>
    <x v="1"/>
  </r>
  <r>
    <x v="20"/>
    <x v="11"/>
    <x v="166"/>
    <x v="1"/>
  </r>
  <r>
    <x v="21"/>
    <x v="0"/>
    <x v="167"/>
    <x v="0"/>
  </r>
  <r>
    <x v="21"/>
    <x v="1"/>
    <x v="168"/>
    <x v="0"/>
  </r>
  <r>
    <x v="21"/>
    <x v="2"/>
    <x v="169"/>
    <x v="0"/>
  </r>
  <r>
    <x v="21"/>
    <x v="3"/>
    <x v="170"/>
    <x v="1"/>
  </r>
  <r>
    <x v="21"/>
    <x v="4"/>
    <x v="171"/>
    <x v="1"/>
  </r>
  <r>
    <x v="21"/>
    <x v="5"/>
    <x v="32"/>
    <x v="1"/>
  </r>
  <r>
    <x v="21"/>
    <x v="6"/>
    <x v="7"/>
    <x v="1"/>
  </r>
  <r>
    <x v="21"/>
    <x v="7"/>
    <x v="7"/>
    <x v="1"/>
  </r>
  <r>
    <x v="21"/>
    <x v="8"/>
    <x v="7"/>
    <x v="1"/>
  </r>
  <r>
    <x v="21"/>
    <x v="9"/>
    <x v="172"/>
    <x v="1"/>
  </r>
  <r>
    <x v="21"/>
    <x v="10"/>
    <x v="173"/>
    <x v="1"/>
  </r>
  <r>
    <x v="21"/>
    <x v="11"/>
    <x v="174"/>
    <x v="1"/>
  </r>
  <r>
    <x v="22"/>
    <x v="0"/>
    <x v="175"/>
    <x v="0"/>
  </r>
  <r>
    <x v="22"/>
    <x v="1"/>
    <x v="176"/>
    <x v="0"/>
  </r>
  <r>
    <x v="22"/>
    <x v="2"/>
    <x v="177"/>
    <x v="0"/>
  </r>
  <r>
    <x v="22"/>
    <x v="3"/>
    <x v="178"/>
    <x v="1"/>
  </r>
  <r>
    <x v="22"/>
    <x v="4"/>
    <x v="179"/>
    <x v="1"/>
  </r>
  <r>
    <x v="22"/>
    <x v="5"/>
    <x v="52"/>
    <x v="1"/>
  </r>
  <r>
    <x v="22"/>
    <x v="6"/>
    <x v="7"/>
    <x v="1"/>
  </r>
  <r>
    <x v="22"/>
    <x v="7"/>
    <x v="7"/>
    <x v="1"/>
  </r>
  <r>
    <x v="22"/>
    <x v="8"/>
    <x v="7"/>
    <x v="1"/>
  </r>
  <r>
    <x v="22"/>
    <x v="9"/>
    <x v="180"/>
    <x v="1"/>
  </r>
  <r>
    <x v="22"/>
    <x v="10"/>
    <x v="181"/>
    <x v="1"/>
  </r>
  <r>
    <x v="22"/>
    <x v="11"/>
    <x v="182"/>
    <x v="1"/>
  </r>
  <r>
    <x v="23"/>
    <x v="0"/>
    <x v="183"/>
    <x v="0"/>
  </r>
  <r>
    <x v="23"/>
    <x v="1"/>
    <x v="137"/>
    <x v="0"/>
  </r>
  <r>
    <x v="23"/>
    <x v="2"/>
    <x v="184"/>
    <x v="0"/>
  </r>
  <r>
    <x v="23"/>
    <x v="3"/>
    <x v="185"/>
    <x v="1"/>
  </r>
  <r>
    <x v="23"/>
    <x v="4"/>
    <x v="186"/>
    <x v="1"/>
  </r>
  <r>
    <x v="23"/>
    <x v="5"/>
    <x v="6"/>
    <x v="1"/>
  </r>
  <r>
    <x v="23"/>
    <x v="6"/>
    <x v="7"/>
    <x v="1"/>
  </r>
  <r>
    <x v="23"/>
    <x v="7"/>
    <x v="7"/>
    <x v="1"/>
  </r>
  <r>
    <x v="23"/>
    <x v="8"/>
    <x v="7"/>
    <x v="1"/>
  </r>
  <r>
    <x v="23"/>
    <x v="9"/>
    <x v="187"/>
    <x v="1"/>
  </r>
  <r>
    <x v="23"/>
    <x v="10"/>
    <x v="188"/>
    <x v="1"/>
  </r>
  <r>
    <x v="23"/>
    <x v="11"/>
    <x v="189"/>
    <x v="1"/>
  </r>
  <r>
    <x v="24"/>
    <x v="0"/>
    <x v="190"/>
    <x v="0"/>
  </r>
  <r>
    <x v="24"/>
    <x v="1"/>
    <x v="191"/>
    <x v="0"/>
  </r>
  <r>
    <x v="24"/>
    <x v="2"/>
    <x v="192"/>
    <x v="0"/>
  </r>
  <r>
    <x v="24"/>
    <x v="3"/>
    <x v="193"/>
    <x v="1"/>
  </r>
  <r>
    <x v="24"/>
    <x v="4"/>
    <x v="194"/>
    <x v="1"/>
  </r>
  <r>
    <x v="24"/>
    <x v="5"/>
    <x v="6"/>
    <x v="1"/>
  </r>
  <r>
    <x v="24"/>
    <x v="6"/>
    <x v="7"/>
    <x v="1"/>
  </r>
  <r>
    <x v="24"/>
    <x v="7"/>
    <x v="7"/>
    <x v="1"/>
  </r>
  <r>
    <x v="24"/>
    <x v="8"/>
    <x v="7"/>
    <x v="1"/>
  </r>
  <r>
    <x v="24"/>
    <x v="9"/>
    <x v="195"/>
    <x v="1"/>
  </r>
  <r>
    <x v="24"/>
    <x v="10"/>
    <x v="196"/>
    <x v="1"/>
  </r>
  <r>
    <x v="24"/>
    <x v="11"/>
    <x v="99"/>
    <x v="1"/>
  </r>
  <r>
    <x v="25"/>
    <x v="0"/>
    <x v="158"/>
    <x v="0"/>
  </r>
  <r>
    <x v="25"/>
    <x v="1"/>
    <x v="197"/>
    <x v="0"/>
  </r>
  <r>
    <x v="25"/>
    <x v="2"/>
    <x v="198"/>
    <x v="0"/>
  </r>
  <r>
    <x v="25"/>
    <x v="3"/>
    <x v="178"/>
    <x v="1"/>
  </r>
  <r>
    <x v="25"/>
    <x v="4"/>
    <x v="199"/>
    <x v="1"/>
  </r>
  <r>
    <x v="25"/>
    <x v="5"/>
    <x v="11"/>
    <x v="1"/>
  </r>
  <r>
    <x v="25"/>
    <x v="6"/>
    <x v="6"/>
    <x v="1"/>
  </r>
  <r>
    <x v="25"/>
    <x v="7"/>
    <x v="7"/>
    <x v="1"/>
  </r>
  <r>
    <x v="25"/>
    <x v="8"/>
    <x v="7"/>
    <x v="1"/>
  </r>
  <r>
    <x v="25"/>
    <x v="9"/>
    <x v="200"/>
    <x v="1"/>
  </r>
  <r>
    <x v="25"/>
    <x v="10"/>
    <x v="201"/>
    <x v="1"/>
  </r>
  <r>
    <x v="25"/>
    <x v="11"/>
    <x v="202"/>
    <x v="1"/>
  </r>
  <r>
    <x v="26"/>
    <x v="0"/>
    <x v="100"/>
    <x v="0"/>
  </r>
  <r>
    <x v="26"/>
    <x v="1"/>
    <x v="203"/>
    <x v="0"/>
  </r>
  <r>
    <x v="26"/>
    <x v="2"/>
    <x v="204"/>
    <x v="0"/>
  </r>
  <r>
    <x v="26"/>
    <x v="3"/>
    <x v="205"/>
    <x v="1"/>
  </r>
  <r>
    <x v="26"/>
    <x v="4"/>
    <x v="206"/>
    <x v="1"/>
  </r>
  <r>
    <x v="26"/>
    <x v="5"/>
    <x v="7"/>
    <x v="1"/>
  </r>
  <r>
    <x v="26"/>
    <x v="6"/>
    <x v="7"/>
    <x v="1"/>
  </r>
  <r>
    <x v="26"/>
    <x v="7"/>
    <x v="7"/>
    <x v="1"/>
  </r>
  <r>
    <x v="26"/>
    <x v="8"/>
    <x v="7"/>
    <x v="1"/>
  </r>
  <r>
    <x v="26"/>
    <x v="9"/>
    <x v="207"/>
    <x v="1"/>
  </r>
  <r>
    <x v="26"/>
    <x v="10"/>
    <x v="208"/>
    <x v="1"/>
  </r>
  <r>
    <x v="26"/>
    <x v="11"/>
    <x v="209"/>
    <x v="1"/>
  </r>
  <r>
    <x v="27"/>
    <x v="0"/>
    <x v="210"/>
    <x v="0"/>
  </r>
  <r>
    <x v="27"/>
    <x v="1"/>
    <x v="65"/>
    <x v="0"/>
  </r>
  <r>
    <x v="27"/>
    <x v="2"/>
    <x v="211"/>
    <x v="0"/>
  </r>
  <r>
    <x v="27"/>
    <x v="3"/>
    <x v="212"/>
    <x v="1"/>
  </r>
  <r>
    <x v="27"/>
    <x v="4"/>
    <x v="213"/>
    <x v="1"/>
  </r>
  <r>
    <x v="27"/>
    <x v="5"/>
    <x v="6"/>
    <x v="1"/>
  </r>
  <r>
    <x v="27"/>
    <x v="6"/>
    <x v="7"/>
    <x v="1"/>
  </r>
  <r>
    <x v="27"/>
    <x v="7"/>
    <x v="7"/>
    <x v="1"/>
  </r>
  <r>
    <x v="27"/>
    <x v="8"/>
    <x v="7"/>
    <x v="1"/>
  </r>
  <r>
    <x v="27"/>
    <x v="9"/>
    <x v="214"/>
    <x v="1"/>
  </r>
  <r>
    <x v="27"/>
    <x v="10"/>
    <x v="215"/>
    <x v="1"/>
  </r>
  <r>
    <x v="27"/>
    <x v="11"/>
    <x v="216"/>
    <x v="1"/>
  </r>
  <r>
    <x v="28"/>
    <x v="0"/>
    <x v="217"/>
    <x v="0"/>
  </r>
  <r>
    <x v="28"/>
    <x v="1"/>
    <x v="12"/>
    <x v="0"/>
  </r>
  <r>
    <x v="28"/>
    <x v="2"/>
    <x v="208"/>
    <x v="0"/>
  </r>
  <r>
    <x v="28"/>
    <x v="3"/>
    <x v="218"/>
    <x v="1"/>
  </r>
  <r>
    <x v="28"/>
    <x v="4"/>
    <x v="219"/>
    <x v="1"/>
  </r>
  <r>
    <x v="28"/>
    <x v="5"/>
    <x v="32"/>
    <x v="1"/>
  </r>
  <r>
    <x v="28"/>
    <x v="6"/>
    <x v="6"/>
    <x v="1"/>
  </r>
  <r>
    <x v="28"/>
    <x v="7"/>
    <x v="7"/>
    <x v="1"/>
  </r>
  <r>
    <x v="28"/>
    <x v="8"/>
    <x v="7"/>
    <x v="1"/>
  </r>
  <r>
    <x v="28"/>
    <x v="9"/>
    <x v="220"/>
    <x v="1"/>
  </r>
  <r>
    <x v="28"/>
    <x v="10"/>
    <x v="221"/>
    <x v="1"/>
  </r>
  <r>
    <x v="28"/>
    <x v="11"/>
    <x v="222"/>
    <x v="1"/>
  </r>
  <r>
    <x v="29"/>
    <x v="0"/>
    <x v="223"/>
    <x v="0"/>
  </r>
  <r>
    <x v="29"/>
    <x v="1"/>
    <x v="224"/>
    <x v="0"/>
  </r>
  <r>
    <x v="29"/>
    <x v="2"/>
    <x v="225"/>
    <x v="0"/>
  </r>
  <r>
    <x v="29"/>
    <x v="3"/>
    <x v="197"/>
    <x v="1"/>
  </r>
  <r>
    <x v="29"/>
    <x v="4"/>
    <x v="226"/>
    <x v="1"/>
  </r>
  <r>
    <x v="29"/>
    <x v="5"/>
    <x v="6"/>
    <x v="1"/>
  </r>
  <r>
    <x v="29"/>
    <x v="6"/>
    <x v="7"/>
    <x v="1"/>
  </r>
  <r>
    <x v="29"/>
    <x v="7"/>
    <x v="7"/>
    <x v="1"/>
  </r>
  <r>
    <x v="29"/>
    <x v="8"/>
    <x v="7"/>
    <x v="1"/>
  </r>
  <r>
    <x v="29"/>
    <x v="9"/>
    <x v="227"/>
    <x v="1"/>
  </r>
  <r>
    <x v="29"/>
    <x v="10"/>
    <x v="228"/>
    <x v="1"/>
  </r>
  <r>
    <x v="29"/>
    <x v="11"/>
    <x v="229"/>
    <x v="1"/>
  </r>
  <r>
    <x v="30"/>
    <x v="0"/>
    <x v="230"/>
    <x v="0"/>
  </r>
  <r>
    <x v="30"/>
    <x v="1"/>
    <x v="231"/>
    <x v="0"/>
  </r>
  <r>
    <x v="30"/>
    <x v="2"/>
    <x v="232"/>
    <x v="0"/>
  </r>
  <r>
    <x v="30"/>
    <x v="3"/>
    <x v="233"/>
    <x v="1"/>
  </r>
  <r>
    <x v="30"/>
    <x v="4"/>
    <x v="234"/>
    <x v="1"/>
  </r>
  <r>
    <x v="30"/>
    <x v="5"/>
    <x v="52"/>
    <x v="1"/>
  </r>
  <r>
    <x v="30"/>
    <x v="6"/>
    <x v="7"/>
    <x v="1"/>
  </r>
  <r>
    <x v="30"/>
    <x v="7"/>
    <x v="7"/>
    <x v="1"/>
  </r>
  <r>
    <x v="30"/>
    <x v="8"/>
    <x v="7"/>
    <x v="1"/>
  </r>
  <r>
    <x v="30"/>
    <x v="9"/>
    <x v="235"/>
    <x v="1"/>
  </r>
  <r>
    <x v="30"/>
    <x v="10"/>
    <x v="236"/>
    <x v="1"/>
  </r>
  <r>
    <x v="30"/>
    <x v="11"/>
    <x v="94"/>
    <x v="1"/>
  </r>
  <r>
    <x v="31"/>
    <x v="0"/>
    <x v="35"/>
    <x v="0"/>
  </r>
  <r>
    <x v="31"/>
    <x v="1"/>
    <x v="237"/>
    <x v="0"/>
  </r>
  <r>
    <x v="31"/>
    <x v="2"/>
    <x v="238"/>
    <x v="0"/>
  </r>
  <r>
    <x v="31"/>
    <x v="3"/>
    <x v="162"/>
    <x v="1"/>
  </r>
  <r>
    <x v="31"/>
    <x v="4"/>
    <x v="239"/>
    <x v="1"/>
  </r>
  <r>
    <x v="31"/>
    <x v="5"/>
    <x v="6"/>
    <x v="1"/>
  </r>
  <r>
    <x v="31"/>
    <x v="6"/>
    <x v="6"/>
    <x v="1"/>
  </r>
  <r>
    <x v="31"/>
    <x v="7"/>
    <x v="7"/>
    <x v="1"/>
  </r>
  <r>
    <x v="31"/>
    <x v="8"/>
    <x v="7"/>
    <x v="1"/>
  </r>
  <r>
    <x v="31"/>
    <x v="9"/>
    <x v="240"/>
    <x v="1"/>
  </r>
  <r>
    <x v="31"/>
    <x v="10"/>
    <x v="241"/>
    <x v="1"/>
  </r>
  <r>
    <x v="31"/>
    <x v="11"/>
    <x v="66"/>
    <x v="1"/>
  </r>
  <r>
    <x v="32"/>
    <x v="0"/>
    <x v="242"/>
    <x v="0"/>
  </r>
  <r>
    <x v="32"/>
    <x v="1"/>
    <x v="243"/>
    <x v="0"/>
  </r>
  <r>
    <x v="32"/>
    <x v="2"/>
    <x v="244"/>
    <x v="0"/>
  </r>
  <r>
    <x v="32"/>
    <x v="3"/>
    <x v="245"/>
    <x v="1"/>
  </r>
  <r>
    <x v="32"/>
    <x v="4"/>
    <x v="246"/>
    <x v="1"/>
  </r>
  <r>
    <x v="32"/>
    <x v="5"/>
    <x v="73"/>
    <x v="1"/>
  </r>
  <r>
    <x v="32"/>
    <x v="6"/>
    <x v="6"/>
    <x v="1"/>
  </r>
  <r>
    <x v="32"/>
    <x v="7"/>
    <x v="7"/>
    <x v="1"/>
  </r>
  <r>
    <x v="32"/>
    <x v="8"/>
    <x v="7"/>
    <x v="1"/>
  </r>
  <r>
    <x v="32"/>
    <x v="9"/>
    <x v="247"/>
    <x v="1"/>
  </r>
  <r>
    <x v="32"/>
    <x v="10"/>
    <x v="248"/>
    <x v="1"/>
  </r>
  <r>
    <x v="32"/>
    <x v="11"/>
    <x v="249"/>
    <x v="1"/>
  </r>
  <r>
    <x v="33"/>
    <x v="0"/>
    <x v="250"/>
    <x v="0"/>
  </r>
  <r>
    <x v="33"/>
    <x v="1"/>
    <x v="251"/>
    <x v="0"/>
  </r>
  <r>
    <x v="33"/>
    <x v="2"/>
    <x v="252"/>
    <x v="0"/>
  </r>
  <r>
    <x v="33"/>
    <x v="3"/>
    <x v="253"/>
    <x v="1"/>
  </r>
  <r>
    <x v="33"/>
    <x v="4"/>
    <x v="254"/>
    <x v="1"/>
  </r>
  <r>
    <x v="33"/>
    <x v="5"/>
    <x v="52"/>
    <x v="1"/>
  </r>
  <r>
    <x v="33"/>
    <x v="6"/>
    <x v="6"/>
    <x v="1"/>
  </r>
  <r>
    <x v="33"/>
    <x v="7"/>
    <x v="7"/>
    <x v="1"/>
  </r>
  <r>
    <x v="33"/>
    <x v="8"/>
    <x v="7"/>
    <x v="1"/>
  </r>
  <r>
    <x v="33"/>
    <x v="9"/>
    <x v="255"/>
    <x v="1"/>
  </r>
  <r>
    <x v="33"/>
    <x v="10"/>
    <x v="256"/>
    <x v="1"/>
  </r>
  <r>
    <x v="33"/>
    <x v="11"/>
    <x v="257"/>
    <x v="1"/>
  </r>
  <r>
    <x v="34"/>
    <x v="0"/>
    <x v="258"/>
    <x v="0"/>
  </r>
  <r>
    <x v="34"/>
    <x v="1"/>
    <x v="259"/>
    <x v="0"/>
  </r>
  <r>
    <x v="34"/>
    <x v="2"/>
    <x v="145"/>
    <x v="0"/>
  </r>
  <r>
    <x v="34"/>
    <x v="3"/>
    <x v="260"/>
    <x v="1"/>
  </r>
  <r>
    <x v="34"/>
    <x v="4"/>
    <x v="261"/>
    <x v="1"/>
  </r>
  <r>
    <x v="34"/>
    <x v="5"/>
    <x v="7"/>
    <x v="1"/>
  </r>
  <r>
    <x v="34"/>
    <x v="6"/>
    <x v="7"/>
    <x v="1"/>
  </r>
  <r>
    <x v="34"/>
    <x v="7"/>
    <x v="7"/>
    <x v="1"/>
  </r>
  <r>
    <x v="34"/>
    <x v="8"/>
    <x v="7"/>
    <x v="1"/>
  </r>
  <r>
    <x v="34"/>
    <x v="9"/>
    <x v="262"/>
    <x v="1"/>
  </r>
  <r>
    <x v="34"/>
    <x v="10"/>
    <x v="263"/>
    <x v="1"/>
  </r>
  <r>
    <x v="34"/>
    <x v="11"/>
    <x v="264"/>
    <x v="1"/>
  </r>
  <r>
    <x v="35"/>
    <x v="0"/>
    <x v="132"/>
    <x v="0"/>
  </r>
  <r>
    <x v="35"/>
    <x v="1"/>
    <x v="265"/>
    <x v="0"/>
  </r>
  <r>
    <x v="35"/>
    <x v="2"/>
    <x v="266"/>
    <x v="0"/>
  </r>
  <r>
    <x v="35"/>
    <x v="3"/>
    <x v="267"/>
    <x v="1"/>
  </r>
  <r>
    <x v="35"/>
    <x v="4"/>
    <x v="268"/>
    <x v="1"/>
  </r>
  <r>
    <x v="35"/>
    <x v="5"/>
    <x v="24"/>
    <x v="1"/>
  </r>
  <r>
    <x v="35"/>
    <x v="6"/>
    <x v="6"/>
    <x v="1"/>
  </r>
  <r>
    <x v="35"/>
    <x v="7"/>
    <x v="7"/>
    <x v="1"/>
  </r>
  <r>
    <x v="35"/>
    <x v="8"/>
    <x v="7"/>
    <x v="1"/>
  </r>
  <r>
    <x v="35"/>
    <x v="9"/>
    <x v="269"/>
    <x v="1"/>
  </r>
  <r>
    <x v="35"/>
    <x v="10"/>
    <x v="270"/>
    <x v="1"/>
  </r>
  <r>
    <x v="35"/>
    <x v="11"/>
    <x v="271"/>
    <x v="1"/>
  </r>
  <r>
    <x v="36"/>
    <x v="0"/>
    <x v="272"/>
    <x v="0"/>
  </r>
  <r>
    <x v="36"/>
    <x v="1"/>
    <x v="273"/>
    <x v="0"/>
  </r>
  <r>
    <x v="36"/>
    <x v="2"/>
    <x v="274"/>
    <x v="0"/>
  </r>
  <r>
    <x v="36"/>
    <x v="3"/>
    <x v="275"/>
    <x v="1"/>
  </r>
  <r>
    <x v="36"/>
    <x v="4"/>
    <x v="276"/>
    <x v="1"/>
  </r>
  <r>
    <x v="36"/>
    <x v="5"/>
    <x v="76"/>
    <x v="1"/>
  </r>
  <r>
    <x v="36"/>
    <x v="6"/>
    <x v="32"/>
    <x v="1"/>
  </r>
  <r>
    <x v="36"/>
    <x v="7"/>
    <x v="7"/>
    <x v="1"/>
  </r>
  <r>
    <x v="36"/>
    <x v="8"/>
    <x v="7"/>
    <x v="1"/>
  </r>
  <r>
    <x v="36"/>
    <x v="9"/>
    <x v="277"/>
    <x v="1"/>
  </r>
  <r>
    <x v="36"/>
    <x v="10"/>
    <x v="278"/>
    <x v="1"/>
  </r>
  <r>
    <x v="36"/>
    <x v="11"/>
    <x v="279"/>
    <x v="1"/>
  </r>
  <r>
    <x v="37"/>
    <x v="0"/>
    <x v="280"/>
    <x v="0"/>
  </r>
  <r>
    <x v="37"/>
    <x v="1"/>
    <x v="281"/>
    <x v="0"/>
  </r>
  <r>
    <x v="37"/>
    <x v="2"/>
    <x v="282"/>
    <x v="0"/>
  </r>
  <r>
    <x v="37"/>
    <x v="3"/>
    <x v="283"/>
    <x v="1"/>
  </r>
  <r>
    <x v="37"/>
    <x v="4"/>
    <x v="284"/>
    <x v="1"/>
  </r>
  <r>
    <x v="37"/>
    <x v="5"/>
    <x v="6"/>
    <x v="1"/>
  </r>
  <r>
    <x v="37"/>
    <x v="6"/>
    <x v="6"/>
    <x v="1"/>
  </r>
  <r>
    <x v="37"/>
    <x v="7"/>
    <x v="7"/>
    <x v="1"/>
  </r>
  <r>
    <x v="37"/>
    <x v="8"/>
    <x v="7"/>
    <x v="1"/>
  </r>
  <r>
    <x v="37"/>
    <x v="9"/>
    <x v="285"/>
    <x v="1"/>
  </r>
  <r>
    <x v="37"/>
    <x v="10"/>
    <x v="286"/>
    <x v="1"/>
  </r>
  <r>
    <x v="37"/>
    <x v="11"/>
    <x v="287"/>
    <x v="1"/>
  </r>
  <r>
    <x v="38"/>
    <x v="0"/>
    <x v="250"/>
    <x v="0"/>
  </r>
  <r>
    <x v="38"/>
    <x v="1"/>
    <x v="288"/>
    <x v="0"/>
  </r>
  <r>
    <x v="38"/>
    <x v="2"/>
    <x v="289"/>
    <x v="0"/>
  </r>
  <r>
    <x v="38"/>
    <x v="3"/>
    <x v="290"/>
    <x v="1"/>
  </r>
  <r>
    <x v="38"/>
    <x v="4"/>
    <x v="291"/>
    <x v="1"/>
  </r>
  <r>
    <x v="38"/>
    <x v="5"/>
    <x v="292"/>
    <x v="1"/>
  </r>
  <r>
    <x v="38"/>
    <x v="6"/>
    <x v="6"/>
    <x v="1"/>
  </r>
  <r>
    <x v="38"/>
    <x v="7"/>
    <x v="7"/>
    <x v="1"/>
  </r>
  <r>
    <x v="38"/>
    <x v="8"/>
    <x v="7"/>
    <x v="1"/>
  </r>
  <r>
    <x v="38"/>
    <x v="9"/>
    <x v="293"/>
    <x v="1"/>
  </r>
  <r>
    <x v="38"/>
    <x v="10"/>
    <x v="294"/>
    <x v="1"/>
  </r>
  <r>
    <x v="38"/>
    <x v="11"/>
    <x v="295"/>
    <x v="1"/>
  </r>
  <r>
    <x v="39"/>
    <x v="0"/>
    <x v="296"/>
    <x v="0"/>
  </r>
  <r>
    <x v="39"/>
    <x v="1"/>
    <x v="17"/>
    <x v="0"/>
  </r>
  <r>
    <x v="39"/>
    <x v="2"/>
    <x v="297"/>
    <x v="0"/>
  </r>
  <r>
    <x v="39"/>
    <x v="3"/>
    <x v="298"/>
    <x v="1"/>
  </r>
  <r>
    <x v="39"/>
    <x v="4"/>
    <x v="299"/>
    <x v="1"/>
  </r>
  <r>
    <x v="39"/>
    <x v="5"/>
    <x v="7"/>
    <x v="1"/>
  </r>
  <r>
    <x v="39"/>
    <x v="6"/>
    <x v="7"/>
    <x v="1"/>
  </r>
  <r>
    <x v="39"/>
    <x v="7"/>
    <x v="7"/>
    <x v="1"/>
  </r>
  <r>
    <x v="39"/>
    <x v="8"/>
    <x v="7"/>
    <x v="1"/>
  </r>
  <r>
    <x v="39"/>
    <x v="9"/>
    <x v="300"/>
    <x v="1"/>
  </r>
  <r>
    <x v="39"/>
    <x v="10"/>
    <x v="301"/>
    <x v="1"/>
  </r>
  <r>
    <x v="39"/>
    <x v="11"/>
    <x v="302"/>
    <x v="1"/>
  </r>
  <r>
    <x v="40"/>
    <x v="0"/>
    <x v="63"/>
    <x v="0"/>
  </r>
  <r>
    <x v="40"/>
    <x v="1"/>
    <x v="122"/>
    <x v="0"/>
  </r>
  <r>
    <x v="40"/>
    <x v="2"/>
    <x v="303"/>
    <x v="0"/>
  </r>
  <r>
    <x v="40"/>
    <x v="3"/>
    <x v="263"/>
    <x v="1"/>
  </r>
  <r>
    <x v="40"/>
    <x v="4"/>
    <x v="304"/>
    <x v="1"/>
  </r>
  <r>
    <x v="40"/>
    <x v="5"/>
    <x v="6"/>
    <x v="1"/>
  </r>
  <r>
    <x v="40"/>
    <x v="6"/>
    <x v="6"/>
    <x v="1"/>
  </r>
  <r>
    <x v="40"/>
    <x v="7"/>
    <x v="7"/>
    <x v="1"/>
  </r>
  <r>
    <x v="40"/>
    <x v="8"/>
    <x v="7"/>
    <x v="1"/>
  </r>
  <r>
    <x v="40"/>
    <x v="9"/>
    <x v="305"/>
    <x v="1"/>
  </r>
  <r>
    <x v="40"/>
    <x v="10"/>
    <x v="306"/>
    <x v="1"/>
  </r>
  <r>
    <x v="40"/>
    <x v="11"/>
    <x v="307"/>
    <x v="1"/>
  </r>
  <r>
    <x v="41"/>
    <x v="0"/>
    <x v="308"/>
    <x v="0"/>
  </r>
  <r>
    <x v="41"/>
    <x v="1"/>
    <x v="309"/>
    <x v="0"/>
  </r>
  <r>
    <x v="41"/>
    <x v="2"/>
    <x v="310"/>
    <x v="0"/>
  </r>
  <r>
    <x v="41"/>
    <x v="3"/>
    <x v="311"/>
    <x v="1"/>
  </r>
  <r>
    <x v="41"/>
    <x v="4"/>
    <x v="312"/>
    <x v="1"/>
  </r>
  <r>
    <x v="41"/>
    <x v="5"/>
    <x v="7"/>
    <x v="1"/>
  </r>
  <r>
    <x v="41"/>
    <x v="6"/>
    <x v="7"/>
    <x v="1"/>
  </r>
  <r>
    <x v="41"/>
    <x v="7"/>
    <x v="7"/>
    <x v="1"/>
  </r>
  <r>
    <x v="41"/>
    <x v="8"/>
    <x v="7"/>
    <x v="1"/>
  </r>
  <r>
    <x v="41"/>
    <x v="9"/>
    <x v="313"/>
    <x v="1"/>
  </r>
  <r>
    <x v="41"/>
    <x v="10"/>
    <x v="314"/>
    <x v="1"/>
  </r>
  <r>
    <x v="41"/>
    <x v="11"/>
    <x v="315"/>
    <x v="1"/>
  </r>
  <r>
    <x v="42"/>
    <x v="0"/>
    <x v="316"/>
    <x v="0"/>
  </r>
  <r>
    <x v="42"/>
    <x v="1"/>
    <x v="301"/>
    <x v="0"/>
  </r>
  <r>
    <x v="42"/>
    <x v="2"/>
    <x v="317"/>
    <x v="0"/>
  </r>
  <r>
    <x v="42"/>
    <x v="3"/>
    <x v="318"/>
    <x v="1"/>
  </r>
  <r>
    <x v="42"/>
    <x v="4"/>
    <x v="319"/>
    <x v="1"/>
  </r>
  <r>
    <x v="42"/>
    <x v="5"/>
    <x v="32"/>
    <x v="1"/>
  </r>
  <r>
    <x v="42"/>
    <x v="6"/>
    <x v="6"/>
    <x v="1"/>
  </r>
  <r>
    <x v="42"/>
    <x v="7"/>
    <x v="7"/>
    <x v="1"/>
  </r>
  <r>
    <x v="42"/>
    <x v="8"/>
    <x v="7"/>
    <x v="1"/>
  </r>
  <r>
    <x v="42"/>
    <x v="9"/>
    <x v="320"/>
    <x v="1"/>
  </r>
  <r>
    <x v="42"/>
    <x v="10"/>
    <x v="321"/>
    <x v="1"/>
  </r>
  <r>
    <x v="42"/>
    <x v="11"/>
    <x v="322"/>
    <x v="1"/>
  </r>
  <r>
    <x v="43"/>
    <x v="0"/>
    <x v="323"/>
    <x v="0"/>
  </r>
  <r>
    <x v="43"/>
    <x v="1"/>
    <x v="324"/>
    <x v="0"/>
  </r>
  <r>
    <x v="43"/>
    <x v="2"/>
    <x v="325"/>
    <x v="0"/>
  </r>
  <r>
    <x v="43"/>
    <x v="3"/>
    <x v="326"/>
    <x v="1"/>
  </r>
  <r>
    <x v="43"/>
    <x v="4"/>
    <x v="327"/>
    <x v="1"/>
  </r>
  <r>
    <x v="43"/>
    <x v="5"/>
    <x v="309"/>
    <x v="1"/>
  </r>
  <r>
    <x v="43"/>
    <x v="6"/>
    <x v="309"/>
    <x v="1"/>
  </r>
  <r>
    <x v="43"/>
    <x v="7"/>
    <x v="7"/>
    <x v="1"/>
  </r>
  <r>
    <x v="43"/>
    <x v="8"/>
    <x v="7"/>
    <x v="1"/>
  </r>
  <r>
    <x v="43"/>
    <x v="9"/>
    <x v="328"/>
    <x v="1"/>
  </r>
  <r>
    <x v="43"/>
    <x v="10"/>
    <x v="329"/>
    <x v="1"/>
  </r>
  <r>
    <x v="43"/>
    <x v="11"/>
    <x v="330"/>
    <x v="1"/>
  </r>
  <r>
    <x v="44"/>
    <x v="0"/>
    <x v="331"/>
    <x v="0"/>
  </r>
  <r>
    <x v="44"/>
    <x v="1"/>
    <x v="0"/>
    <x v="0"/>
  </r>
  <r>
    <x v="44"/>
    <x v="2"/>
    <x v="332"/>
    <x v="0"/>
  </r>
  <r>
    <x v="44"/>
    <x v="3"/>
    <x v="333"/>
    <x v="1"/>
  </r>
  <r>
    <x v="44"/>
    <x v="4"/>
    <x v="334"/>
    <x v="1"/>
  </r>
  <r>
    <x v="44"/>
    <x v="5"/>
    <x v="335"/>
    <x v="1"/>
  </r>
  <r>
    <x v="44"/>
    <x v="6"/>
    <x v="292"/>
    <x v="1"/>
  </r>
  <r>
    <x v="44"/>
    <x v="7"/>
    <x v="7"/>
    <x v="1"/>
  </r>
  <r>
    <x v="44"/>
    <x v="8"/>
    <x v="7"/>
    <x v="1"/>
  </r>
  <r>
    <x v="44"/>
    <x v="9"/>
    <x v="336"/>
    <x v="1"/>
  </r>
  <r>
    <x v="44"/>
    <x v="10"/>
    <x v="337"/>
    <x v="1"/>
  </r>
  <r>
    <x v="44"/>
    <x v="11"/>
    <x v="338"/>
    <x v="1"/>
  </r>
  <r>
    <x v="45"/>
    <x v="0"/>
    <x v="339"/>
    <x v="0"/>
  </r>
  <r>
    <x v="45"/>
    <x v="1"/>
    <x v="340"/>
    <x v="0"/>
  </r>
  <r>
    <x v="45"/>
    <x v="2"/>
    <x v="222"/>
    <x v="0"/>
  </r>
  <r>
    <x v="45"/>
    <x v="3"/>
    <x v="341"/>
    <x v="1"/>
  </r>
  <r>
    <x v="45"/>
    <x v="4"/>
    <x v="342"/>
    <x v="1"/>
  </r>
  <r>
    <x v="45"/>
    <x v="5"/>
    <x v="7"/>
    <x v="1"/>
  </r>
  <r>
    <x v="45"/>
    <x v="6"/>
    <x v="7"/>
    <x v="1"/>
  </r>
  <r>
    <x v="45"/>
    <x v="7"/>
    <x v="7"/>
    <x v="1"/>
  </r>
  <r>
    <x v="45"/>
    <x v="8"/>
    <x v="7"/>
    <x v="1"/>
  </r>
  <r>
    <x v="45"/>
    <x v="9"/>
    <x v="343"/>
    <x v="1"/>
  </r>
  <r>
    <x v="45"/>
    <x v="10"/>
    <x v="344"/>
    <x v="1"/>
  </r>
  <r>
    <x v="45"/>
    <x v="11"/>
    <x v="345"/>
    <x v="1"/>
  </r>
  <r>
    <x v="46"/>
    <x v="0"/>
    <x v="346"/>
    <x v="0"/>
  </r>
  <r>
    <x v="46"/>
    <x v="1"/>
    <x v="347"/>
    <x v="0"/>
  </r>
  <r>
    <x v="46"/>
    <x v="2"/>
    <x v="348"/>
    <x v="0"/>
  </r>
  <r>
    <x v="46"/>
    <x v="3"/>
    <x v="238"/>
    <x v="1"/>
  </r>
  <r>
    <x v="46"/>
    <x v="4"/>
    <x v="349"/>
    <x v="1"/>
  </r>
  <r>
    <x v="46"/>
    <x v="5"/>
    <x v="52"/>
    <x v="1"/>
  </r>
  <r>
    <x v="46"/>
    <x v="6"/>
    <x v="7"/>
    <x v="1"/>
  </r>
  <r>
    <x v="46"/>
    <x v="7"/>
    <x v="7"/>
    <x v="1"/>
  </r>
  <r>
    <x v="46"/>
    <x v="8"/>
    <x v="7"/>
    <x v="1"/>
  </r>
  <r>
    <x v="46"/>
    <x v="9"/>
    <x v="350"/>
    <x v="1"/>
  </r>
  <r>
    <x v="46"/>
    <x v="10"/>
    <x v="351"/>
    <x v="1"/>
  </r>
  <r>
    <x v="46"/>
    <x v="11"/>
    <x v="352"/>
    <x v="1"/>
  </r>
  <r>
    <x v="47"/>
    <x v="0"/>
    <x v="353"/>
    <x v="0"/>
  </r>
  <r>
    <x v="47"/>
    <x v="1"/>
    <x v="354"/>
    <x v="0"/>
  </r>
  <r>
    <x v="47"/>
    <x v="2"/>
    <x v="355"/>
    <x v="0"/>
  </r>
  <r>
    <x v="47"/>
    <x v="3"/>
    <x v="167"/>
    <x v="1"/>
  </r>
  <r>
    <x v="47"/>
    <x v="4"/>
    <x v="356"/>
    <x v="1"/>
  </r>
  <r>
    <x v="47"/>
    <x v="5"/>
    <x v="6"/>
    <x v="1"/>
  </r>
  <r>
    <x v="47"/>
    <x v="6"/>
    <x v="6"/>
    <x v="1"/>
  </r>
  <r>
    <x v="47"/>
    <x v="7"/>
    <x v="7"/>
    <x v="1"/>
  </r>
  <r>
    <x v="47"/>
    <x v="8"/>
    <x v="7"/>
    <x v="1"/>
  </r>
  <r>
    <x v="47"/>
    <x v="9"/>
    <x v="357"/>
    <x v="1"/>
  </r>
  <r>
    <x v="47"/>
    <x v="10"/>
    <x v="358"/>
    <x v="1"/>
  </r>
  <r>
    <x v="47"/>
    <x v="11"/>
    <x v="359"/>
    <x v="1"/>
  </r>
  <r>
    <x v="48"/>
    <x v="0"/>
    <x v="360"/>
    <x v="0"/>
  </r>
  <r>
    <x v="48"/>
    <x v="1"/>
    <x v="76"/>
    <x v="0"/>
  </r>
  <r>
    <x v="48"/>
    <x v="2"/>
    <x v="361"/>
    <x v="0"/>
  </r>
  <r>
    <x v="48"/>
    <x v="3"/>
    <x v="362"/>
    <x v="1"/>
  </r>
  <r>
    <x v="48"/>
    <x v="4"/>
    <x v="363"/>
    <x v="1"/>
  </r>
  <r>
    <x v="48"/>
    <x v="5"/>
    <x v="6"/>
    <x v="1"/>
  </r>
  <r>
    <x v="48"/>
    <x v="6"/>
    <x v="7"/>
    <x v="1"/>
  </r>
  <r>
    <x v="48"/>
    <x v="7"/>
    <x v="7"/>
    <x v="1"/>
  </r>
  <r>
    <x v="48"/>
    <x v="8"/>
    <x v="7"/>
    <x v="1"/>
  </r>
  <r>
    <x v="48"/>
    <x v="9"/>
    <x v="364"/>
    <x v="1"/>
  </r>
  <r>
    <x v="48"/>
    <x v="10"/>
    <x v="365"/>
    <x v="1"/>
  </r>
  <r>
    <x v="48"/>
    <x v="11"/>
    <x v="366"/>
    <x v="1"/>
  </r>
  <r>
    <x v="49"/>
    <x v="0"/>
    <x v="367"/>
    <x v="0"/>
  </r>
  <r>
    <x v="49"/>
    <x v="1"/>
    <x v="368"/>
    <x v="0"/>
  </r>
  <r>
    <x v="49"/>
    <x v="2"/>
    <x v="369"/>
    <x v="0"/>
  </r>
  <r>
    <x v="49"/>
    <x v="3"/>
    <x v="370"/>
    <x v="1"/>
  </r>
  <r>
    <x v="49"/>
    <x v="4"/>
    <x v="371"/>
    <x v="1"/>
  </r>
  <r>
    <x v="49"/>
    <x v="5"/>
    <x v="52"/>
    <x v="1"/>
  </r>
  <r>
    <x v="49"/>
    <x v="6"/>
    <x v="7"/>
    <x v="1"/>
  </r>
  <r>
    <x v="49"/>
    <x v="7"/>
    <x v="7"/>
    <x v="1"/>
  </r>
  <r>
    <x v="49"/>
    <x v="8"/>
    <x v="7"/>
    <x v="1"/>
  </r>
  <r>
    <x v="49"/>
    <x v="9"/>
    <x v="372"/>
    <x v="1"/>
  </r>
  <r>
    <x v="49"/>
    <x v="10"/>
    <x v="373"/>
    <x v="1"/>
  </r>
  <r>
    <x v="49"/>
    <x v="11"/>
    <x v="374"/>
    <x v="1"/>
  </r>
  <r>
    <x v="50"/>
    <x v="0"/>
    <x v="375"/>
    <x v="0"/>
  </r>
  <r>
    <x v="50"/>
    <x v="1"/>
    <x v="259"/>
    <x v="0"/>
  </r>
  <r>
    <x v="50"/>
    <x v="2"/>
    <x v="64"/>
    <x v="0"/>
  </r>
  <r>
    <x v="50"/>
    <x v="3"/>
    <x v="376"/>
    <x v="1"/>
  </r>
  <r>
    <x v="50"/>
    <x v="4"/>
    <x v="377"/>
    <x v="1"/>
  </r>
  <r>
    <x v="50"/>
    <x v="5"/>
    <x v="7"/>
    <x v="1"/>
  </r>
  <r>
    <x v="50"/>
    <x v="6"/>
    <x v="7"/>
    <x v="1"/>
  </r>
  <r>
    <x v="50"/>
    <x v="7"/>
    <x v="7"/>
    <x v="1"/>
  </r>
  <r>
    <x v="50"/>
    <x v="8"/>
    <x v="7"/>
    <x v="1"/>
  </r>
  <r>
    <x v="50"/>
    <x v="9"/>
    <x v="378"/>
    <x v="1"/>
  </r>
  <r>
    <x v="50"/>
    <x v="10"/>
    <x v="271"/>
    <x v="1"/>
  </r>
  <r>
    <x v="50"/>
    <x v="11"/>
    <x v="37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64E253-86B9-430B-AE94-4BB010C486AD}" name="PivotTable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 Name">
  <location ref="A1:E53" firstHeaderRow="1" firstDataRow="2" firstDataCol="1"/>
  <pivotFields count="4">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xis="axisCol" showAll="0">
      <items count="13">
        <item h="1" x="3"/>
        <item h="1" x="5"/>
        <item h="1" x="10"/>
        <item x="0"/>
        <item h="1" x="4"/>
        <item x="9"/>
        <item x="2"/>
        <item h="1" x="7"/>
        <item h="1" x="8"/>
        <item x="1"/>
        <item h="1" x="6"/>
        <item h="1" x="11"/>
        <item t="default"/>
      </items>
    </pivotField>
    <pivotField dataField="1" numFmtId="3"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1"/>
  </colFields>
  <colItems count="4">
    <i>
      <x v="3"/>
    </i>
    <i>
      <x v="5"/>
    </i>
    <i>
      <x v="6"/>
    </i>
    <i>
      <x v="9"/>
    </i>
  </colItems>
  <dataFields count="1">
    <dataField name="Sum of registration_count" fld="2" showDataAs="percentOfRow" baseField="0" baseItem="0" numFmtId="10"/>
  </dataFields>
  <formats count="19">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1" type="button" dataOnly="0" labelOnly="1" outline="0" axis="axisCol" fieldPosition="0"/>
    </format>
    <format dxfId="123">
      <pivotArea type="topRight" dataOnly="0" labelOnly="1" outline="0" fieldPosition="0"/>
    </format>
    <format dxfId="122">
      <pivotArea field="0" type="button" dataOnly="0" labelOnly="1" outline="0" axis="axisRow" fieldPosition="0"/>
    </format>
    <format dxfId="12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0">
      <pivotArea dataOnly="0" labelOnly="1" fieldPosition="0">
        <references count="1">
          <reference field="0" count="1">
            <x v="50"/>
          </reference>
        </references>
      </pivotArea>
    </format>
    <format dxfId="119">
      <pivotArea dataOnly="0" labelOnly="1" fieldPosition="0">
        <references count="1">
          <reference field="1" count="0"/>
        </references>
      </pivotArea>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1" type="button" dataOnly="0" labelOnly="1" outline="0" axis="axisCol" fieldPosition="0"/>
    </format>
    <format dxfId="114">
      <pivotArea type="topRight" dataOnly="0" labelOnly="1" outline="0" fieldPosition="0"/>
    </format>
    <format dxfId="113">
      <pivotArea field="0" type="button" dataOnly="0" labelOnly="1" outline="0" axis="axisRow" fieldPosition="0"/>
    </format>
    <format dxfId="11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1">
      <pivotArea dataOnly="0" labelOnly="1" fieldPosition="0">
        <references count="1">
          <reference field="0" count="1">
            <x v="50"/>
          </reference>
        </references>
      </pivotArea>
    </format>
    <format dxfId="110">
      <pivotArea dataOnly="0" labelOnly="1" fieldPosition="0">
        <references count="1">
          <reference field="1" count="0"/>
        </references>
      </pivotArea>
    </format>
    <format dxfId="109">
      <pivotArea dataOnly="0" labelOnly="1" fieldPosition="0">
        <references count="1">
          <reference field="1" count="0"/>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6EE642-6AD2-4076-88F5-B5F5AF96B770}" name="PivotTable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 Name">
  <location ref="E3:G55" firstHeaderRow="1" firstDataRow="2" firstDataCol="1"/>
  <pivotFields count="4">
    <pivotField axis="axisRow" showAll="0" nonAutoSortDefault="1">
      <items count="52">
        <item x="24"/>
        <item x="34"/>
        <item x="18"/>
        <item x="50"/>
        <item x="41"/>
        <item x="0"/>
        <item x="3"/>
        <item x="48"/>
        <item x="17"/>
        <item x="27"/>
        <item x="40"/>
        <item x="15"/>
        <item x="42"/>
        <item x="1"/>
        <item x="14"/>
        <item x="16"/>
        <item x="36"/>
        <item x="35"/>
        <item x="22"/>
        <item x="25"/>
        <item x="26"/>
        <item x="43"/>
        <item x="12"/>
        <item x="49"/>
        <item x="10"/>
        <item x="31"/>
        <item x="33"/>
        <item x="23"/>
        <item x="38"/>
        <item x="39"/>
        <item x="7"/>
        <item x="29"/>
        <item x="9"/>
        <item x="19"/>
        <item x="13"/>
        <item x="6"/>
        <item x="46"/>
        <item x="44"/>
        <item x="2"/>
        <item x="32"/>
        <item x="30"/>
        <item x="28"/>
        <item x="5"/>
        <item x="20"/>
        <item x="21"/>
        <item x="45"/>
        <item x="11"/>
        <item x="37"/>
        <item x="47"/>
        <item x="4"/>
        <item x="8"/>
        <item t="default"/>
      </items>
    </pivotField>
    <pivotField showAll="0">
      <items count="13">
        <item h="1" x="3"/>
        <item h="1" x="5"/>
        <item h="1" x="10"/>
        <item x="0"/>
        <item h="1" x="4"/>
        <item x="9"/>
        <item x="2"/>
        <item h="1" x="7"/>
        <item h="1" x="8"/>
        <item x="1"/>
        <item h="1" x="6"/>
        <item h="1" x="11"/>
        <item t="default"/>
      </items>
    </pivotField>
    <pivotField dataField="1" numFmtId="3" showAll="0"/>
    <pivotField axis="axisCol" showAll="0">
      <items count="3">
        <item x="0"/>
        <item x="1"/>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3"/>
  </colFields>
  <colItems count="2">
    <i>
      <x/>
    </i>
    <i>
      <x v="1"/>
    </i>
  </colItems>
  <dataFields count="1">
    <dataField name="Sum of registration_count" fld="2" showDataAs="percentOfRow" baseField="0" baseItem="0" numFmtId="10"/>
  </dataFields>
  <formats count="26">
    <format dxfId="29">
      <pivotArea type="all" dataOnly="0" outline="0" fieldPosition="0"/>
    </format>
    <format dxfId="30">
      <pivotArea outline="0" collapsedLevelsAreSubtotals="1" fieldPosition="0"/>
    </format>
    <format dxfId="31">
      <pivotArea type="origin" dataOnly="0" labelOnly="1" outline="0" fieldPosition="0"/>
    </format>
    <format dxfId="32">
      <pivotArea field="1" type="button" dataOnly="0" labelOnly="1" outline="0"/>
    </format>
    <format dxfId="33">
      <pivotArea type="topRight" dataOnly="0" labelOnly="1" outline="0" fieldPosition="0"/>
    </format>
    <format dxfId="34">
      <pivotArea field="0" type="button" dataOnly="0" labelOnly="1" outline="0" axis="axisRow" fieldPosition="0"/>
    </format>
    <format dxfId="35">
      <pivotArea dataOnly="0" labelOnly="1" fieldPosition="0">
        <references count="1">
          <reference field="0" count="50">
            <x v="0"/>
            <x v="1"/>
            <x v="2"/>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36">
      <pivotArea dataOnly="0" labelOnly="1" fieldPosition="0">
        <references count="1">
          <reference field="0" count="1">
            <x v="3"/>
          </reference>
        </references>
      </pivotArea>
    </format>
    <format dxfId="37">
      <pivotArea type="all" dataOnly="0" outline="0" fieldPosition="0"/>
    </format>
    <format dxfId="38">
      <pivotArea outline="0" collapsedLevelsAreSubtotals="1" fieldPosition="0"/>
    </format>
    <format dxfId="39">
      <pivotArea type="origin" dataOnly="0" labelOnly="1" outline="0" fieldPosition="0"/>
    </format>
    <format dxfId="40">
      <pivotArea field="1" type="button" dataOnly="0" labelOnly="1" outline="0"/>
    </format>
    <format dxfId="41">
      <pivotArea type="topRight" dataOnly="0" labelOnly="1" outline="0" fieldPosition="0"/>
    </format>
    <format dxfId="42">
      <pivotArea field="0" type="button" dataOnly="0" labelOnly="1" outline="0" axis="axisRow" fieldPosition="0"/>
    </format>
    <format dxfId="43">
      <pivotArea dataOnly="0" labelOnly="1" fieldPosition="0">
        <references count="1">
          <reference field="0" count="50">
            <x v="0"/>
            <x v="1"/>
            <x v="2"/>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44">
      <pivotArea dataOnly="0" labelOnly="1" fieldPosition="0">
        <references count="1">
          <reference field="0" count="1">
            <x v="3"/>
          </reference>
        </references>
      </pivotArea>
    </format>
    <format dxfId="45">
      <pivotArea outline="0" fieldPosition="0">
        <references count="1">
          <reference field="4294967294" count="1">
            <x v="0"/>
          </reference>
        </references>
      </pivotArea>
    </format>
    <format dxfId="46">
      <pivotArea type="all" dataOnly="0" outline="0" fieldPosition="0"/>
    </format>
    <format dxfId="47">
      <pivotArea outline="0" collapsedLevelsAreSubtotals="1" fieldPosition="0"/>
    </format>
    <format dxfId="48">
      <pivotArea type="origin" dataOnly="0" labelOnly="1" outline="0" fieldPosition="0"/>
    </format>
    <format dxfId="49">
      <pivotArea field="3" type="button" dataOnly="0" labelOnly="1" outline="0" axis="axisCol" fieldPosition="0"/>
    </format>
    <format dxfId="50">
      <pivotArea type="topRight" dataOnly="0" labelOnly="1" outline="0" fieldPosition="0"/>
    </format>
    <format dxfId="51">
      <pivotArea field="0" type="button" dataOnly="0" labelOnly="1" outline="0" axis="axisRow" fieldPosition="0"/>
    </format>
    <format dxfId="52">
      <pivotArea dataOnly="0" labelOnly="1" fieldPosition="0">
        <references count="1">
          <reference field="0"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53">
      <pivotArea dataOnly="0" labelOnly="1" fieldPosition="0">
        <references count="1">
          <reference field="0" count="1">
            <x v="0"/>
          </reference>
        </references>
      </pivotArea>
    </format>
    <format dxfId="54">
      <pivotArea dataOnly="0" labelOnly="1" fieldPosition="0">
        <references count="1">
          <reference field="3" count="0"/>
        </references>
      </pivotArea>
    </format>
  </formats>
  <conditionalFormats count="1">
    <conditionalFormat type="all" priority="1">
      <pivotAreas count="1">
        <pivotArea type="data" outline="0" collapsedLevelsAreSubtotals="1" fieldPosition="0">
          <references count="2">
            <reference field="4294967294" count="1" selected="0">
              <x v="0"/>
            </reference>
            <reference field="3" count="1" selected="0">
              <x v="0"/>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4E957B-2B0F-4B64-AB29-73D92203FDAF}" name="PivotTable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tate Name">
  <location ref="A3:C55" firstHeaderRow="1" firstDataRow="2" firstDataCol="1"/>
  <pivotFields count="4">
    <pivotField axis="axisRow" showAll="0" nonAutoSortDefault="1">
      <items count="52">
        <item x="8"/>
        <item x="4"/>
        <item x="47"/>
        <item x="37"/>
        <item x="11"/>
        <item x="45"/>
        <item x="21"/>
        <item x="20"/>
        <item x="5"/>
        <item x="28"/>
        <item x="30"/>
        <item x="32"/>
        <item x="2"/>
        <item x="44"/>
        <item x="46"/>
        <item x="6"/>
        <item x="13"/>
        <item x="19"/>
        <item x="9"/>
        <item x="29"/>
        <item x="7"/>
        <item x="39"/>
        <item x="38"/>
        <item x="23"/>
        <item x="33"/>
        <item x="31"/>
        <item x="10"/>
        <item x="49"/>
        <item x="12"/>
        <item x="43"/>
        <item x="26"/>
        <item x="25"/>
        <item x="22"/>
        <item x="35"/>
        <item x="36"/>
        <item x="16"/>
        <item x="14"/>
        <item x="1"/>
        <item x="42"/>
        <item x="15"/>
        <item x="40"/>
        <item x="27"/>
        <item x="17"/>
        <item x="48"/>
        <item x="3"/>
        <item x="0"/>
        <item x="41"/>
        <item x="50"/>
        <item x="18"/>
        <item x="34"/>
        <item x="24"/>
        <item t="default"/>
      </items>
    </pivotField>
    <pivotField showAll="0">
      <items count="13">
        <item h="1" x="3"/>
        <item h="1" x="5"/>
        <item h="1" x="10"/>
        <item x="0"/>
        <item h="1" x="4"/>
        <item x="9"/>
        <item x="2"/>
        <item h="1" x="7"/>
        <item h="1" x="8"/>
        <item x="1"/>
        <item h="1" x="6"/>
        <item h="1" x="11"/>
        <item t="default"/>
      </items>
    </pivotField>
    <pivotField dataField="1" numFmtId="3" showAll="0"/>
    <pivotField axis="axisCol" showAll="0">
      <items count="3">
        <item x="0"/>
        <item x="1"/>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3"/>
  </colFields>
  <colItems count="2">
    <i>
      <x/>
    </i>
    <i>
      <x v="1"/>
    </i>
  </colItems>
  <dataFields count="1">
    <dataField name="Sum of registration_count" fld="2" showDataAs="percentOfRow" baseField="0" baseItem="0" numFmtId="10"/>
  </dataFields>
  <formats count="26">
    <format dxfId="55">
      <pivotArea type="all" dataOnly="0" outline="0" fieldPosition="0"/>
    </format>
    <format dxfId="56">
      <pivotArea outline="0" collapsedLevelsAreSubtotals="1" fieldPosition="0"/>
    </format>
    <format dxfId="57">
      <pivotArea type="origin" dataOnly="0" labelOnly="1" outline="0" fieldPosition="0"/>
    </format>
    <format dxfId="58">
      <pivotArea field="1" type="button" dataOnly="0" labelOnly="1" outline="0"/>
    </format>
    <format dxfId="59">
      <pivotArea type="topRight" dataOnly="0" labelOnly="1" outline="0" fieldPosition="0"/>
    </format>
    <format dxfId="60">
      <pivotArea field="0" type="button" dataOnly="0" labelOnly="1" outline="0" axis="axisRow" fieldPosition="0"/>
    </format>
    <format dxfId="6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8"/>
            <x v="49"/>
            <x v="50"/>
          </reference>
        </references>
      </pivotArea>
    </format>
    <format dxfId="62">
      <pivotArea dataOnly="0" labelOnly="1" fieldPosition="0">
        <references count="1">
          <reference field="0" count="1">
            <x v="47"/>
          </reference>
        </references>
      </pivotArea>
    </format>
    <format dxfId="63">
      <pivotArea type="all" dataOnly="0" outline="0" fieldPosition="0"/>
    </format>
    <format dxfId="64">
      <pivotArea outline="0" collapsedLevelsAreSubtotals="1" fieldPosition="0"/>
    </format>
    <format dxfId="65">
      <pivotArea type="origin" dataOnly="0" labelOnly="1" outline="0" fieldPosition="0"/>
    </format>
    <format dxfId="66">
      <pivotArea field="1" type="button" dataOnly="0" labelOnly="1" outline="0"/>
    </format>
    <format dxfId="67">
      <pivotArea type="topRight" dataOnly="0" labelOnly="1" outline="0" fieldPosition="0"/>
    </format>
    <format dxfId="68">
      <pivotArea field="0" type="button" dataOnly="0" labelOnly="1" outline="0" axis="axisRow" fieldPosition="0"/>
    </format>
    <format dxfId="6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8"/>
            <x v="49"/>
            <x v="50"/>
          </reference>
        </references>
      </pivotArea>
    </format>
    <format dxfId="70">
      <pivotArea dataOnly="0" labelOnly="1" fieldPosition="0">
        <references count="1">
          <reference field="0" count="1">
            <x v="47"/>
          </reference>
        </references>
      </pivotArea>
    </format>
    <format dxfId="71">
      <pivotArea outline="0" fieldPosition="0">
        <references count="1">
          <reference field="4294967294" count="1">
            <x v="0"/>
          </reference>
        </references>
      </pivotArea>
    </format>
    <format dxfId="72">
      <pivotArea type="all" dataOnly="0" outline="0" fieldPosition="0"/>
    </format>
    <format dxfId="73">
      <pivotArea outline="0" collapsedLevelsAreSubtotals="1" fieldPosition="0"/>
    </format>
    <format dxfId="74">
      <pivotArea type="origin" dataOnly="0" labelOnly="1" outline="0" fieldPosition="0"/>
    </format>
    <format dxfId="75">
      <pivotArea field="3" type="button" dataOnly="0" labelOnly="1" outline="0" axis="axisCol" fieldPosition="0"/>
    </format>
    <format dxfId="76">
      <pivotArea type="topRight" dataOnly="0" labelOnly="1" outline="0" fieldPosition="0"/>
    </format>
    <format dxfId="77">
      <pivotArea field="0" type="button" dataOnly="0" labelOnly="1" outline="0" axis="axisRow" fieldPosition="0"/>
    </format>
    <format dxfId="7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9">
      <pivotArea dataOnly="0" labelOnly="1" fieldPosition="0">
        <references count="1">
          <reference field="0" count="1">
            <x v="50"/>
          </reference>
        </references>
      </pivotArea>
    </format>
    <format dxfId="80">
      <pivotArea dataOnly="0" labelOnly="1" fieldPosition="0">
        <references count="1">
          <reference field="3" count="0"/>
        </references>
      </pivotArea>
    </format>
  </formats>
  <conditionalFormats count="1">
    <conditionalFormat type="all" priority="3">
      <pivotAreas count="1">
        <pivotArea type="data" outline="0" collapsedLevelsAreSubtotals="1" fieldPosition="0">
          <references count="2">
            <reference field="4294967294" count="1" selected="0">
              <x v="0"/>
            </reference>
            <reference field="3" count="1" selected="0">
              <x v="0"/>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F94438-36A5-41B1-99B2-D9009DBAAE65}"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State Name">
  <location ref="A3:C9" firstHeaderRow="1" firstDataRow="2" firstDataCol="1"/>
  <pivotFields count="4">
    <pivotField axis="axisRow" showAll="0" measureFilter="1" nonAutoSortDefault="1">
      <items count="52">
        <item x="8"/>
        <item x="4"/>
        <item x="47"/>
        <item x="37"/>
        <item x="11"/>
        <item x="45"/>
        <item x="21"/>
        <item x="20"/>
        <item x="5"/>
        <item x="28"/>
        <item x="30"/>
        <item x="32"/>
        <item x="2"/>
        <item x="44"/>
        <item x="46"/>
        <item x="6"/>
        <item x="13"/>
        <item x="19"/>
        <item x="9"/>
        <item x="29"/>
        <item x="7"/>
        <item x="39"/>
        <item x="38"/>
        <item x="23"/>
        <item x="33"/>
        <item x="31"/>
        <item x="10"/>
        <item x="49"/>
        <item x="12"/>
        <item x="43"/>
        <item x="26"/>
        <item x="25"/>
        <item x="22"/>
        <item x="35"/>
        <item x="36"/>
        <item x="16"/>
        <item x="14"/>
        <item x="1"/>
        <item x="42"/>
        <item x="15"/>
        <item x="40"/>
        <item x="27"/>
        <item x="17"/>
        <item x="48"/>
        <item x="3"/>
        <item x="0"/>
        <item x="41"/>
        <item x="50"/>
        <item x="18"/>
        <item x="34"/>
        <item x="24"/>
        <item t="default"/>
      </items>
    </pivotField>
    <pivotField showAll="0">
      <items count="13">
        <item h="1" x="3"/>
        <item h="1" x="5"/>
        <item h="1" x="10"/>
        <item x="0"/>
        <item h="1" x="4"/>
        <item x="9"/>
        <item x="2"/>
        <item h="1" x="7"/>
        <item h="1" x="8"/>
        <item x="1"/>
        <item h="1" x="6"/>
        <item h="1" x="11"/>
        <item t="default"/>
      </items>
    </pivotField>
    <pivotField dataField="1" numFmtId="3" showAll="0"/>
    <pivotField axis="axisCol" showAll="0">
      <items count="3">
        <item x="0"/>
        <item x="1"/>
        <item t="default"/>
      </items>
    </pivotField>
  </pivotFields>
  <rowFields count="1">
    <field x="0"/>
  </rowFields>
  <rowItems count="5">
    <i>
      <x v="1"/>
    </i>
    <i>
      <x v="11"/>
    </i>
    <i>
      <x v="18"/>
    </i>
    <i>
      <x v="29"/>
    </i>
    <i>
      <x v="33"/>
    </i>
  </rowItems>
  <colFields count="1">
    <field x="3"/>
  </colFields>
  <colItems count="2">
    <i>
      <x/>
    </i>
    <i>
      <x v="1"/>
    </i>
  </colItems>
  <dataFields count="1">
    <dataField name="Sum of registration_count" fld="2" showDataAs="percentOfRow" baseField="0" baseItem="0" numFmtId="10"/>
  </dataFields>
  <formats count="26">
    <format dxfId="0">
      <pivotArea type="all" dataOnly="0" outline="0" fieldPosition="0"/>
    </format>
    <format dxfId="1">
      <pivotArea outline="0" collapsedLevelsAreSubtotals="1" fieldPosition="0"/>
    </format>
    <format dxfId="2">
      <pivotArea type="origin" dataOnly="0" labelOnly="1" outline="0" fieldPosition="0"/>
    </format>
    <format dxfId="3">
      <pivotArea field="1" type="button" dataOnly="0" labelOnly="1" outline="0"/>
    </format>
    <format dxfId="4">
      <pivotArea type="topRight" dataOnly="0" labelOnly="1" outline="0" fieldPosition="0"/>
    </format>
    <format dxfId="5">
      <pivotArea field="0" type="button" dataOnly="0" labelOnly="1" outline="0" axis="axisRow" fieldPosition="0"/>
    </format>
    <format dxfId="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8"/>
            <x v="49"/>
            <x v="50"/>
          </reference>
        </references>
      </pivotArea>
    </format>
    <format dxfId="7">
      <pivotArea dataOnly="0" labelOnly="1" fieldPosition="0">
        <references count="1">
          <reference field="0" count="1">
            <x v="47"/>
          </reference>
        </references>
      </pivotArea>
    </format>
    <format dxfId="8">
      <pivotArea type="all" dataOnly="0" outline="0" fieldPosition="0"/>
    </format>
    <format dxfId="9">
      <pivotArea outline="0" collapsedLevelsAreSubtotals="1" fieldPosition="0"/>
    </format>
    <format dxfId="10">
      <pivotArea type="origin" dataOnly="0" labelOnly="1" outline="0" fieldPosition="0"/>
    </format>
    <format dxfId="11">
      <pivotArea field="1" type="button" dataOnly="0" labelOnly="1" outline="0"/>
    </format>
    <format dxfId="12">
      <pivotArea type="topRight" dataOnly="0" labelOnly="1" outline="0" fieldPosition="0"/>
    </format>
    <format dxfId="13">
      <pivotArea field="0" type="button" dataOnly="0" labelOnly="1" outline="0" axis="axisRow" fieldPosition="0"/>
    </format>
    <format dxfId="1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8"/>
            <x v="49"/>
            <x v="50"/>
          </reference>
        </references>
      </pivotArea>
    </format>
    <format dxfId="15">
      <pivotArea dataOnly="0" labelOnly="1" fieldPosition="0">
        <references count="1">
          <reference field="0" count="1">
            <x v="47"/>
          </reference>
        </references>
      </pivotArea>
    </format>
    <format dxfId="16">
      <pivotArea outline="0" fieldPosition="0">
        <references count="1">
          <reference field="4294967294" count="1">
            <x v="0"/>
          </reference>
        </references>
      </pivotArea>
    </format>
    <format dxfId="17">
      <pivotArea type="all" dataOnly="0" outline="0" fieldPosition="0"/>
    </format>
    <format dxfId="18">
      <pivotArea outline="0" collapsedLevelsAreSubtotals="1" fieldPosition="0"/>
    </format>
    <format dxfId="19">
      <pivotArea type="origin" dataOnly="0" labelOnly="1" outline="0" fieldPosition="0"/>
    </format>
    <format dxfId="20">
      <pivotArea field="3" type="button" dataOnly="0" labelOnly="1" outline="0" axis="axisCol" fieldPosition="0"/>
    </format>
    <format dxfId="21">
      <pivotArea type="topRight" dataOnly="0" labelOnly="1" outline="0" fieldPosition="0"/>
    </format>
    <format dxfId="22">
      <pivotArea field="0" type="button" dataOnly="0" labelOnly="1" outline="0" axis="axisRow" fieldPosition="0"/>
    </format>
    <format dxfId="2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4">
      <pivotArea dataOnly="0" labelOnly="1" fieldPosition="0">
        <references count="1">
          <reference field="0" count="1">
            <x v="50"/>
          </reference>
        </references>
      </pivotArea>
    </format>
    <format dxfId="25">
      <pivotArea dataOnly="0" labelOnly="1" fieldPosition="0">
        <references count="1">
          <reference field="3" count="0"/>
        </references>
      </pivotArea>
    </format>
  </format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Medium2"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1C5AEDB-6209-44DD-9B93-6868D3E0FD74}" autoFormatId="16" applyNumberFormats="0" applyBorderFormats="0" applyFontFormats="0" applyPatternFormats="0" applyAlignmentFormats="0" applyWidthHeightFormats="0">
  <queryTableRefresh nextId="6">
    <queryTableFields count="4">
      <queryTableField id="1" name="state_name" tableColumnId="1"/>
      <queryTableField id="4" name="EV/Non-EV" tableColumnId="4"/>
      <queryTableField id="2" name="fuel_type" tableColumnId="2"/>
      <queryTableField id="3" name="registration_coun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93395665-B9BC-4386-BA74-E2664C781A3E}" sourceName="fuel_type">
  <pivotTables>
    <pivotTable tabId="3" name="PivotTable1"/>
  </pivotTables>
  <data>
    <tabular pivotCacheId="30480387">
      <items count="12">
        <i x="3"/>
        <i x="5"/>
        <i x="10"/>
        <i x="0" s="1"/>
        <i x="4"/>
        <i x="9" s="1"/>
        <i x="2" s="1"/>
        <i x="7"/>
        <i x="8"/>
        <i x="1" s="1"/>
        <i x="6"/>
        <i x="1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 xr10:uid="{98A44D3C-8BFB-4099-8275-ACE3BC05748E}" cache="Slicer_fuel_type" caption="fuel_type"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F75260-257B-476B-A348-F0E2938D5B48}" name="vehicle_data_cleaned" displayName="vehicle_data_cleaned" ref="A1:D613" tableType="queryTable" totalsRowShown="0" headerRowDxfId="131" headerRowBorderDxfId="130" tableBorderDxfId="129" totalsRowBorderDxfId="128">
  <autoFilter ref="A1:D613" xr:uid="{09F75260-257B-476B-A348-F0E2938D5B48}"/>
  <tableColumns count="4">
    <tableColumn id="1" xr3:uid="{E7A1D216-04FD-418B-B459-B6DCC364D88E}" uniqueName="1" name="state_name" queryTableFieldId="1" dataDxfId="84"/>
    <tableColumn id="4" xr3:uid="{3CEE192B-B415-48FC-B988-67E99E5DA7E0}" uniqueName="4" name="EV/Non-EV" queryTableFieldId="4" dataDxfId="83"/>
    <tableColumn id="2" xr3:uid="{B5305D1F-2254-42DA-B477-0292A9049E03}" uniqueName="2" name="fuel_type" queryTableFieldId="2" dataDxfId="82"/>
    <tableColumn id="3" xr3:uid="{50710DC6-3535-4E82-A475-237AA152F81E}" uniqueName="3" name="registration_count" queryTableFieldId="3" dataDxfId="8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425053-0785-4542-9C9F-8E7136D7EFD5}" name="vehicle_data_raw" displayName="vehicle_data_raw" ref="A1:M52" totalsRowShown="0" headerRowDxfId="108" headerRowBorderDxfId="107" tableBorderDxfId="106" totalsRowBorderDxfId="105">
  <autoFilter ref="A1:M52" xr:uid="{55425053-0785-4542-9C9F-8E7136D7EFD5}"/>
  <tableColumns count="13">
    <tableColumn id="1" xr3:uid="{D275ADB9-7AEE-4CEC-9232-08205534E604}" name="State" dataDxfId="104"/>
    <tableColumn id="2" xr3:uid="{24C0642E-13CB-46E8-82FB-1300F040851A}" name="Electric (EV)" dataDxfId="103"/>
    <tableColumn id="3" xr3:uid="{7E791EFA-7C95-4AC7-96C1-6A01589C6C01}" name="Plug-In Hybrid Electric (PHEV)" dataDxfId="102"/>
    <tableColumn id="4" xr3:uid="{9D9E60D1-F21A-4D7C-9799-0681B9A335EF}" name="Hybrid Electric (HEV)" dataDxfId="101"/>
    <tableColumn id="5" xr3:uid="{F8FC151F-28BC-4B30-A840-382E3D3167EB}" name="Biodiesel" dataDxfId="100"/>
    <tableColumn id="6" xr3:uid="{D74CA5A2-79B9-418A-BD12-C5E1EC479F24}" name="Ethanol/Flex (E85)" dataDxfId="99"/>
    <tableColumn id="7" xr3:uid="{A6921D85-AA0D-4D4A-A0F4-58EF322B1C45}" name="Compressed Natural Gas (CNG)" dataDxfId="98"/>
    <tableColumn id="8" xr3:uid="{182C315A-F8FF-4EDE-87B9-F3C19D21BDCB}" name="Propane" dataDxfId="97"/>
    <tableColumn id="9" xr3:uid="{44427484-90B4-4B87-A018-8BC9A674E332}" name="Hydrogen" dataDxfId="96"/>
    <tableColumn id="10" xr3:uid="{C59981F3-E854-45FD-9106-CA86CE03507C}" name="Methanol" dataDxfId="95"/>
    <tableColumn id="11" xr3:uid="{0063C9A2-DD29-48ED-987F-B4C93C64806B}" name="Gasoline" dataDxfId="94"/>
    <tableColumn id="12" xr3:uid="{DD83D57B-A5E8-411D-9DF3-C03447F4B449}" name="Diesel" dataDxfId="93"/>
    <tableColumn id="13" xr3:uid="{75E02D1D-0F84-4137-8842-3672A68E130A}" name="Unknown Fuel" dataDxfId="9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8AAE74-04ED-4D68-B2A2-37632BE5AE53}" name="fuel_type_reference_table" displayName="fuel_type_reference_table" ref="A1:B13" totalsRowShown="0" headerRowDxfId="91" dataDxfId="89" headerRowBorderDxfId="90" tableBorderDxfId="88" totalsRowBorderDxfId="87">
  <autoFilter ref="A1:B13" xr:uid="{388AAE74-04ED-4D68-B2A2-37632BE5AE53}"/>
  <tableColumns count="2">
    <tableColumn id="1" xr3:uid="{AEA4D163-9D0E-4740-A153-9BBA8A86A82D}" name="fuel_type" dataDxfId="86"/>
    <tableColumn id="2" xr3:uid="{983C0E88-BC15-40A9-8EF0-67A00628C793}" name="EV/Non-EV" dataDxfId="85"/>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74051-290E-4432-B0B9-AB4F4DFC0188}">
  <dimension ref="A1:B8"/>
  <sheetViews>
    <sheetView zoomScale="85" zoomScaleNormal="85" workbookViewId="0">
      <selection activeCell="B4" sqref="B4"/>
    </sheetView>
  </sheetViews>
  <sheetFormatPr defaultRowHeight="14.5"/>
  <cols>
    <col min="1" max="1" width="127" style="48" customWidth="1"/>
    <col min="2" max="2" width="35.75" style="48" bestFit="1" customWidth="1"/>
    <col min="3" max="16384" width="8.6640625" style="48"/>
  </cols>
  <sheetData>
    <row r="1" spans="1:2" ht="21">
      <c r="A1" s="49" t="s">
        <v>68</v>
      </c>
      <c r="B1" s="49" t="s">
        <v>82</v>
      </c>
    </row>
    <row r="2" spans="1:2" ht="21">
      <c r="A2" s="47" t="s">
        <v>64</v>
      </c>
      <c r="B2" s="50" t="s">
        <v>80</v>
      </c>
    </row>
    <row r="3" spans="1:2" ht="21">
      <c r="A3" s="47"/>
      <c r="B3" s="50"/>
    </row>
    <row r="4" spans="1:2" ht="21">
      <c r="A4" s="47" t="s">
        <v>65</v>
      </c>
      <c r="B4" s="50" t="s">
        <v>81</v>
      </c>
    </row>
    <row r="5" spans="1:2" ht="21">
      <c r="A5" s="47"/>
      <c r="B5" s="50"/>
    </row>
    <row r="6" spans="1:2" ht="21">
      <c r="A6" s="47" t="s">
        <v>66</v>
      </c>
      <c r="B6" s="50"/>
    </row>
    <row r="7" spans="1:2" ht="21">
      <c r="A7" s="47"/>
      <c r="B7" s="50"/>
    </row>
    <row r="8" spans="1:2" ht="21">
      <c r="A8" s="47" t="s">
        <v>67</v>
      </c>
      <c r="B8" s="50"/>
    </row>
  </sheetData>
  <hyperlinks>
    <hyperlink ref="B2" location="'Percentage Of Fuel Type'!A1" display="Percentage Of Fuel Type Dashboard" xr:uid="{EA568B9D-D1FC-4C5B-9202-98C529A467E7}"/>
    <hyperlink ref="B4" location="'EV Adoption Rate'!A1" display="EV Adoption Rate" xr:uid="{C455A72B-F99E-4095-9654-84A3FB051D2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BECE-BB7B-4A20-9D55-D91044995458}">
  <dimension ref="A1:E53"/>
  <sheetViews>
    <sheetView topLeftCell="A2" workbookViewId="0">
      <pane ySplit="1" topLeftCell="A3" activePane="bottomLeft" state="frozen"/>
      <selection activeCell="A2" sqref="A2"/>
      <selection pane="bottomLeft"/>
    </sheetView>
  </sheetViews>
  <sheetFormatPr defaultRowHeight="14"/>
  <cols>
    <col min="1" max="1" width="23" bestFit="1" customWidth="1"/>
    <col min="2" max="2" width="17.6640625" bestFit="1" customWidth="1"/>
    <col min="3" max="3" width="8.1640625" bestFit="1" customWidth="1"/>
    <col min="4" max="4" width="7.08203125" bestFit="1" customWidth="1"/>
    <col min="5" max="5" width="13.9140625" bestFit="1" customWidth="1"/>
    <col min="6" max="6" width="9.25" bestFit="1" customWidth="1"/>
    <col min="7" max="7" width="8.1640625" bestFit="1" customWidth="1"/>
    <col min="8" max="8" width="12.58203125" bestFit="1" customWidth="1"/>
    <col min="9" max="9" width="9" bestFit="1" customWidth="1"/>
    <col min="10" max="10" width="8.4140625" bestFit="1" customWidth="1"/>
    <col min="11" max="11" width="13.9140625" bestFit="1" customWidth="1"/>
    <col min="12" max="12" width="7.9140625" bestFit="1" customWidth="1"/>
    <col min="13" max="13" width="9" bestFit="1" customWidth="1"/>
    <col min="14" max="14" width="10.83203125" bestFit="1" customWidth="1"/>
  </cols>
  <sheetData>
    <row r="1" spans="1:5" hidden="1">
      <c r="A1" s="22" t="s">
        <v>74</v>
      </c>
      <c r="B1" s="22" t="s">
        <v>73</v>
      </c>
      <c r="C1" s="19"/>
      <c r="D1" s="19"/>
      <c r="E1" s="19"/>
    </row>
    <row r="2" spans="1:5" ht="42">
      <c r="A2" s="22" t="s">
        <v>69</v>
      </c>
      <c r="B2" s="24" t="s">
        <v>1</v>
      </c>
      <c r="C2" s="24" t="s">
        <v>10</v>
      </c>
      <c r="D2" s="24" t="s">
        <v>3</v>
      </c>
      <c r="E2" s="24" t="s">
        <v>2</v>
      </c>
    </row>
    <row r="3" spans="1:5">
      <c r="A3" s="19" t="s">
        <v>13</v>
      </c>
      <c r="B3" s="23">
        <v>3.1068518031689887E-3</v>
      </c>
      <c r="C3" s="23">
        <v>0.98037903591998665</v>
      </c>
      <c r="D3" s="23">
        <v>1.5127978395430538E-2</v>
      </c>
      <c r="E3" s="23">
        <v>1.3861338814138565E-3</v>
      </c>
    </row>
    <row r="4" spans="1:5">
      <c r="A4" s="19" t="s">
        <v>14</v>
      </c>
      <c r="B4" s="23">
        <v>5.7630736392742798E-3</v>
      </c>
      <c r="C4" s="23">
        <v>0.96969050160085379</v>
      </c>
      <c r="D4" s="23">
        <v>2.2625400213447174E-2</v>
      </c>
      <c r="E4" s="23">
        <v>1.9210245464247599E-3</v>
      </c>
    </row>
    <row r="5" spans="1:5">
      <c r="A5" s="19" t="s">
        <v>15</v>
      </c>
      <c r="B5" s="23">
        <v>1.559000711793198E-2</v>
      </c>
      <c r="C5" s="23">
        <v>0.94946268293953229</v>
      </c>
      <c r="D5" s="23">
        <v>3.0502942657245534E-2</v>
      </c>
      <c r="E5" s="23">
        <v>4.4443672852901859E-3</v>
      </c>
    </row>
    <row r="6" spans="1:5">
      <c r="A6" s="19" t="s">
        <v>16</v>
      </c>
      <c r="B6" s="23">
        <v>3.0958402372024069E-3</v>
      </c>
      <c r="C6" s="23">
        <v>0.97937559954652476</v>
      </c>
      <c r="D6" s="23">
        <v>1.6133251940350569E-2</v>
      </c>
      <c r="E6" s="23">
        <v>1.3953082759222116E-3</v>
      </c>
    </row>
    <row r="7" spans="1:5">
      <c r="A7" s="19" t="s">
        <v>17</v>
      </c>
      <c r="B7" s="23">
        <v>3.6357428882253545E-2</v>
      </c>
      <c r="C7" s="23">
        <v>0.90248073050482602</v>
      </c>
      <c r="D7" s="23">
        <v>4.9278985255653544E-2</v>
      </c>
      <c r="E7" s="23">
        <v>1.1882855357266856E-2</v>
      </c>
    </row>
    <row r="8" spans="1:5">
      <c r="A8" s="19" t="s">
        <v>18</v>
      </c>
      <c r="B8" s="23">
        <v>1.8813555782923722E-2</v>
      </c>
      <c r="C8" s="23">
        <v>0.94147125764757467</v>
      </c>
      <c r="D8" s="23">
        <v>3.1884905305798586E-2</v>
      </c>
      <c r="E8" s="23">
        <v>7.8302812637029914E-3</v>
      </c>
    </row>
    <row r="9" spans="1:5">
      <c r="A9" s="19" t="s">
        <v>19</v>
      </c>
      <c r="B9" s="23">
        <v>1.1541692538076628E-2</v>
      </c>
      <c r="C9" s="23">
        <v>0.95423499762591768</v>
      </c>
      <c r="D9" s="23">
        <v>2.7502830636619308E-2</v>
      </c>
      <c r="E9" s="23">
        <v>6.7204791993863908E-3</v>
      </c>
    </row>
    <row r="10" spans="1:5">
      <c r="A10" s="19" t="s">
        <v>20</v>
      </c>
      <c r="B10" s="23">
        <v>1.016456921587609E-2</v>
      </c>
      <c r="C10" s="23">
        <v>0.95752662149080348</v>
      </c>
      <c r="D10" s="23">
        <v>2.771055179090029E-2</v>
      </c>
      <c r="E10" s="23">
        <v>4.5982575024201356E-3</v>
      </c>
    </row>
    <row r="11" spans="1:5">
      <c r="A11" s="19" t="s">
        <v>21</v>
      </c>
      <c r="B11" s="23">
        <v>2.7701778385772913E-2</v>
      </c>
      <c r="C11" s="23">
        <v>0.89774281805745559</v>
      </c>
      <c r="D11" s="23">
        <v>6.1901504787961699E-2</v>
      </c>
      <c r="E11" s="23">
        <v>1.2653898768809849E-2</v>
      </c>
    </row>
    <row r="12" spans="1:5">
      <c r="A12" s="19" t="s">
        <v>22</v>
      </c>
      <c r="B12" s="23">
        <v>1.5115755016841407E-2</v>
      </c>
      <c r="C12" s="23">
        <v>0.95690616253142935</v>
      </c>
      <c r="D12" s="23">
        <v>2.4580150861046538E-2</v>
      </c>
      <c r="E12" s="23">
        <v>3.3979315906826697E-3</v>
      </c>
    </row>
    <row r="13" spans="1:5">
      <c r="A13" s="19" t="s">
        <v>23</v>
      </c>
      <c r="B13" s="23">
        <v>1.0811063789956474E-2</v>
      </c>
      <c r="C13" s="23">
        <v>0.96602237094585108</v>
      </c>
      <c r="D13" s="23">
        <v>2.051060045865119E-2</v>
      </c>
      <c r="E13" s="23">
        <v>2.655964805541255E-3</v>
      </c>
    </row>
    <row r="14" spans="1:5">
      <c r="A14" s="19" t="s">
        <v>24</v>
      </c>
      <c r="B14" s="23">
        <v>2.5090659609918652E-2</v>
      </c>
      <c r="C14" s="23">
        <v>0.93207880035283741</v>
      </c>
      <c r="D14" s="23">
        <v>3.5675781632853079E-2</v>
      </c>
      <c r="E14" s="23">
        <v>7.1547584043908652E-3</v>
      </c>
    </row>
    <row r="15" spans="1:5">
      <c r="A15" s="19" t="s">
        <v>25</v>
      </c>
      <c r="B15" s="23">
        <v>5.2294819736680206E-3</v>
      </c>
      <c r="C15" s="23">
        <v>0.96505475575243016</v>
      </c>
      <c r="D15" s="23">
        <v>2.688568967638735E-2</v>
      </c>
      <c r="E15" s="23">
        <v>2.8300725975144579E-3</v>
      </c>
    </row>
    <row r="16" spans="1:5">
      <c r="A16" s="19" t="s">
        <v>26</v>
      </c>
      <c r="B16" s="23">
        <v>1.1092919910454743E-2</v>
      </c>
      <c r="C16" s="23">
        <v>0.95340082640025836</v>
      </c>
      <c r="D16" s="23">
        <v>3.1786338779556063E-2</v>
      </c>
      <c r="E16" s="23">
        <v>3.7199149097308076E-3</v>
      </c>
    </row>
    <row r="17" spans="1:5">
      <c r="A17" s="19" t="s">
        <v>27</v>
      </c>
      <c r="B17" s="23">
        <v>4.9020528520181059E-3</v>
      </c>
      <c r="C17" s="23">
        <v>0.97030595571248801</v>
      </c>
      <c r="D17" s="23">
        <v>2.2369137727025149E-2</v>
      </c>
      <c r="E17" s="23">
        <v>2.422853708468719E-3</v>
      </c>
    </row>
    <row r="18" spans="1:5">
      <c r="A18" s="19" t="s">
        <v>28</v>
      </c>
      <c r="B18" s="23">
        <v>3.4381327119226801E-3</v>
      </c>
      <c r="C18" s="23">
        <v>0.97238033388088785</v>
      </c>
      <c r="D18" s="23">
        <v>2.185124345799748E-2</v>
      </c>
      <c r="E18" s="23">
        <v>2.3302899491920389E-3</v>
      </c>
    </row>
    <row r="19" spans="1:5">
      <c r="A19" s="19" t="s">
        <v>29</v>
      </c>
      <c r="B19" s="23">
        <v>5.0538932868196256E-3</v>
      </c>
      <c r="C19" s="23">
        <v>0.96990026387584416</v>
      </c>
      <c r="D19" s="23">
        <v>2.2541258553602575E-2</v>
      </c>
      <c r="E19" s="23">
        <v>2.5045842837336197E-3</v>
      </c>
    </row>
    <row r="20" spans="1:5">
      <c r="A20" s="19" t="s">
        <v>30</v>
      </c>
      <c r="B20" s="23">
        <v>3.3149487040265197E-3</v>
      </c>
      <c r="C20" s="23">
        <v>0.97590946760780728</v>
      </c>
      <c r="D20" s="23">
        <v>1.9175263624153401E-2</v>
      </c>
      <c r="E20" s="23">
        <v>1.6003200640128026E-3</v>
      </c>
    </row>
    <row r="21" spans="1:5">
      <c r="A21" s="19" t="s">
        <v>31</v>
      </c>
      <c r="B21" s="23">
        <v>2.5663495242864297E-3</v>
      </c>
      <c r="C21" s="23">
        <v>0.98360040060090137</v>
      </c>
      <c r="D21" s="23">
        <v>1.2581372058087131E-2</v>
      </c>
      <c r="E21" s="23">
        <v>1.2518778167250877E-3</v>
      </c>
    </row>
    <row r="22" spans="1:5">
      <c r="A22" s="19" t="s">
        <v>32</v>
      </c>
      <c r="B22" s="23">
        <v>6.8221628099935467E-3</v>
      </c>
      <c r="C22" s="23">
        <v>0.9551949847884208</v>
      </c>
      <c r="D22" s="23">
        <v>3.0976306812943673E-2</v>
      </c>
      <c r="E22" s="23">
        <v>7.0065455886420209E-3</v>
      </c>
    </row>
    <row r="23" spans="1:5">
      <c r="A23" s="19" t="s">
        <v>33</v>
      </c>
      <c r="B23" s="23">
        <v>1.5674253788125828E-2</v>
      </c>
      <c r="C23" s="23">
        <v>0.94084654014217706</v>
      </c>
      <c r="D23" s="23">
        <v>3.6674710319789562E-2</v>
      </c>
      <c r="E23" s="23">
        <v>6.8044957499076063E-3</v>
      </c>
    </row>
    <row r="24" spans="1:5">
      <c r="A24" s="19" t="s">
        <v>34</v>
      </c>
      <c r="B24" s="23">
        <v>1.448137828185707E-2</v>
      </c>
      <c r="C24" s="23">
        <v>0.94017110788430591</v>
      </c>
      <c r="D24" s="23">
        <v>3.6752874690946194E-2</v>
      </c>
      <c r="E24" s="23">
        <v>8.5946391428907819E-3</v>
      </c>
    </row>
    <row r="25" spans="1:5">
      <c r="A25" s="19" t="s">
        <v>35</v>
      </c>
      <c r="B25" s="23">
        <v>6.8369330306778482E-3</v>
      </c>
      <c r="C25" s="23">
        <v>0.96907748977178509</v>
      </c>
      <c r="D25" s="23">
        <v>2.0130214350763207E-2</v>
      </c>
      <c r="E25" s="23">
        <v>3.955362846773865E-3</v>
      </c>
    </row>
    <row r="26" spans="1:5">
      <c r="A26" s="19" t="s">
        <v>36</v>
      </c>
      <c r="B26" s="23">
        <v>8.4377629693647791E-3</v>
      </c>
      <c r="C26" s="23">
        <v>0.95958516227341994</v>
      </c>
      <c r="D26" s="23">
        <v>2.8315404034660784E-2</v>
      </c>
      <c r="E26" s="23">
        <v>3.6616707225545272E-3</v>
      </c>
    </row>
    <row r="27" spans="1:5">
      <c r="A27" s="19" t="s">
        <v>37</v>
      </c>
      <c r="B27" s="23">
        <v>1.558846453624318E-3</v>
      </c>
      <c r="C27" s="23">
        <v>0.98536416385208281</v>
      </c>
      <c r="D27" s="23">
        <v>1.2210963886723825E-2</v>
      </c>
      <c r="E27" s="23">
        <v>8.6602580756906552E-4</v>
      </c>
    </row>
    <row r="28" spans="1:5">
      <c r="A28" s="19" t="s">
        <v>38</v>
      </c>
      <c r="B28" s="23">
        <v>5.6473453278189489E-3</v>
      </c>
      <c r="C28" s="23">
        <v>0.96752251590284044</v>
      </c>
      <c r="D28" s="23">
        <v>2.3911993785820755E-2</v>
      </c>
      <c r="E28" s="23">
        <v>2.9181449835198286E-3</v>
      </c>
    </row>
    <row r="29" spans="1:5">
      <c r="A29" s="19" t="s">
        <v>39</v>
      </c>
      <c r="B29" s="23">
        <v>5.6867350723204353E-3</v>
      </c>
      <c r="C29" s="23">
        <v>0.96513784151316606</v>
      </c>
      <c r="D29" s="23">
        <v>2.6084806527382865E-2</v>
      </c>
      <c r="E29" s="23">
        <v>3.0906168871306715E-3</v>
      </c>
    </row>
    <row r="30" spans="1:5">
      <c r="A30" s="19" t="s">
        <v>40</v>
      </c>
      <c r="B30" s="23">
        <v>4.1978463223215912E-3</v>
      </c>
      <c r="C30" s="23">
        <v>0.97365699336861955</v>
      </c>
      <c r="D30" s="23">
        <v>1.9833302914157084E-2</v>
      </c>
      <c r="E30" s="23">
        <v>2.3118573949017459E-3</v>
      </c>
    </row>
    <row r="31" spans="1:5">
      <c r="A31" s="19" t="s">
        <v>41</v>
      </c>
      <c r="B31" s="23">
        <v>2.0636510078801865E-2</v>
      </c>
      <c r="C31" s="23">
        <v>0.9444468631633941</v>
      </c>
      <c r="D31" s="23">
        <v>3.0301711001785015E-2</v>
      </c>
      <c r="E31" s="23">
        <v>4.6149157560189825E-3</v>
      </c>
    </row>
    <row r="32" spans="1:5">
      <c r="A32" s="19" t="s">
        <v>42</v>
      </c>
      <c r="B32" s="23">
        <v>7.9928952042628773E-3</v>
      </c>
      <c r="C32" s="23">
        <v>0.9569675440012918</v>
      </c>
      <c r="D32" s="23">
        <v>2.9710963991603424E-2</v>
      </c>
      <c r="E32" s="23">
        <v>5.3285968028419185E-3</v>
      </c>
    </row>
    <row r="33" spans="1:5">
      <c r="A33" s="19" t="s">
        <v>43</v>
      </c>
      <c r="B33" s="23">
        <v>1.9873505432779489E-2</v>
      </c>
      <c r="C33" s="23">
        <v>0.94841439502277791</v>
      </c>
      <c r="D33" s="23">
        <v>2.5682230314467262E-2</v>
      </c>
      <c r="E33" s="23">
        <v>6.0298692299753792E-3</v>
      </c>
    </row>
    <row r="34" spans="1:5">
      <c r="A34" s="19" t="s">
        <v>44</v>
      </c>
      <c r="B34" s="23">
        <v>6.2156779916721985E-3</v>
      </c>
      <c r="C34" s="23">
        <v>0.96409389898014608</v>
      </c>
      <c r="D34" s="23">
        <v>2.6733450003017318E-2</v>
      </c>
      <c r="E34" s="23">
        <v>2.9569730251644438E-3</v>
      </c>
    </row>
    <row r="35" spans="1:5">
      <c r="A35" s="19" t="s">
        <v>45</v>
      </c>
      <c r="B35" s="23">
        <v>1.2572895021593205E-2</v>
      </c>
      <c r="C35" s="23">
        <v>0.94852103302659174</v>
      </c>
      <c r="D35" s="23">
        <v>3.0067700203962426E-2</v>
      </c>
      <c r="E35" s="23">
        <v>8.838371747852649E-3</v>
      </c>
    </row>
    <row r="36" spans="1:5">
      <c r="A36" s="19" t="s">
        <v>46</v>
      </c>
      <c r="B36" s="23">
        <v>8.7005019520356944E-3</v>
      </c>
      <c r="C36" s="23">
        <v>0.96226064324223837</v>
      </c>
      <c r="D36" s="23">
        <v>2.6101505856107082E-2</v>
      </c>
      <c r="E36" s="23">
        <v>2.9373489496188881E-3</v>
      </c>
    </row>
    <row r="37" spans="1:5">
      <c r="A37" s="19" t="s">
        <v>47</v>
      </c>
      <c r="B37" s="23">
        <v>1.5740594994490791E-3</v>
      </c>
      <c r="C37" s="23">
        <v>0.98425940500550924</v>
      </c>
      <c r="D37" s="23">
        <v>1.2907287895482449E-2</v>
      </c>
      <c r="E37" s="23">
        <v>1.2592475995592634E-3</v>
      </c>
    </row>
    <row r="38" spans="1:5">
      <c r="A38" s="19" t="s">
        <v>48</v>
      </c>
      <c r="B38" s="23">
        <v>5.5048276464677356E-3</v>
      </c>
      <c r="C38" s="23">
        <v>0.97005111625671725</v>
      </c>
      <c r="D38" s="23">
        <v>2.1822709598497095E-2</v>
      </c>
      <c r="E38" s="23">
        <v>2.6213464983179694E-3</v>
      </c>
    </row>
    <row r="39" spans="1:5">
      <c r="A39" s="19" t="s">
        <v>49</v>
      </c>
      <c r="B39" s="23">
        <v>6.1961572954316929E-3</v>
      </c>
      <c r="C39" s="23">
        <v>0.96950838383563875</v>
      </c>
      <c r="D39" s="23">
        <v>1.5327336467646819E-2</v>
      </c>
      <c r="E39" s="23">
        <v>8.9681224012827139E-3</v>
      </c>
    </row>
    <row r="40" spans="1:5">
      <c r="A40" s="19" t="s">
        <v>50</v>
      </c>
      <c r="B40" s="23">
        <v>1.9371916736854771E-2</v>
      </c>
      <c r="C40" s="23">
        <v>0.9247683792564072</v>
      </c>
      <c r="D40" s="23">
        <v>4.7196486584045239E-2</v>
      </c>
      <c r="E40" s="23">
        <v>8.6632174226928173E-3</v>
      </c>
    </row>
    <row r="41" spans="1:5">
      <c r="A41" s="19" t="s">
        <v>51</v>
      </c>
      <c r="B41" s="23">
        <v>7.5966626627276563E-3</v>
      </c>
      <c r="C41" s="23">
        <v>0.96163793569890377</v>
      </c>
      <c r="D41" s="23">
        <v>2.6555854949193259E-2</v>
      </c>
      <c r="E41" s="23">
        <v>4.2095466891752965E-3</v>
      </c>
    </row>
    <row r="42" spans="1:5">
      <c r="A42" s="19" t="s">
        <v>52</v>
      </c>
      <c r="B42" s="23">
        <v>7.8469838155958808E-3</v>
      </c>
      <c r="C42" s="23">
        <v>0.95880333496812165</v>
      </c>
      <c r="D42" s="23">
        <v>2.7096615988229523E-2</v>
      </c>
      <c r="E42" s="23">
        <v>6.2530652280529675E-3</v>
      </c>
    </row>
    <row r="43" spans="1:5">
      <c r="A43" s="19" t="s">
        <v>53</v>
      </c>
      <c r="B43" s="23">
        <v>4.7093285263632269E-3</v>
      </c>
      <c r="C43" s="23">
        <v>0.97453808021631361</v>
      </c>
      <c r="D43" s="23">
        <v>1.8724650743578188E-2</v>
      </c>
      <c r="E43" s="23">
        <v>2.0279405137449301E-3</v>
      </c>
    </row>
    <row r="44" spans="1:5">
      <c r="A44" s="19" t="s">
        <v>54</v>
      </c>
      <c r="B44" s="23">
        <v>2.3186033824331696E-3</v>
      </c>
      <c r="C44" s="23">
        <v>0.97967812329514459</v>
      </c>
      <c r="D44" s="23">
        <v>1.6230223677032189E-2</v>
      </c>
      <c r="E44" s="23">
        <v>1.7730496453900709E-3</v>
      </c>
    </row>
    <row r="45" spans="1:5">
      <c r="A45" s="19" t="s">
        <v>55</v>
      </c>
      <c r="B45" s="23">
        <v>5.7459328487365867E-3</v>
      </c>
      <c r="C45" s="23">
        <v>0.97274143302180682</v>
      </c>
      <c r="D45" s="23">
        <v>1.9608861197646245E-2</v>
      </c>
      <c r="E45" s="23">
        <v>1.9037729318103151E-3</v>
      </c>
    </row>
    <row r="46" spans="1:5">
      <c r="A46" s="19" t="s">
        <v>56</v>
      </c>
      <c r="B46" s="23">
        <v>1.0400799157449386E-2</v>
      </c>
      <c r="C46" s="23">
        <v>0.96698051375698924</v>
      </c>
      <c r="D46" s="23">
        <v>2.0119059995570281E-2</v>
      </c>
      <c r="E46" s="23">
        <v>2.4996270899910952E-3</v>
      </c>
    </row>
    <row r="47" spans="1:5">
      <c r="A47" s="19" t="s">
        <v>57</v>
      </c>
      <c r="B47" s="23">
        <v>1.517565824417634E-2</v>
      </c>
      <c r="C47" s="23">
        <v>0.94832688367857954</v>
      </c>
      <c r="D47" s="23">
        <v>3.1565369147886789E-2</v>
      </c>
      <c r="E47" s="23">
        <v>4.932088929357311E-3</v>
      </c>
    </row>
    <row r="48" spans="1:5">
      <c r="A48" s="19" t="s">
        <v>58</v>
      </c>
      <c r="B48" s="23">
        <v>1.4722536806342015E-2</v>
      </c>
      <c r="C48" s="23">
        <v>0.93620234050585127</v>
      </c>
      <c r="D48" s="23">
        <v>3.831634579086448E-2</v>
      </c>
      <c r="E48" s="23">
        <v>1.0758776896942242E-2</v>
      </c>
    </row>
    <row r="49" spans="1:5">
      <c r="A49" s="19" t="s">
        <v>59</v>
      </c>
      <c r="B49" s="23">
        <v>1.21093694284777E-2</v>
      </c>
      <c r="C49" s="23">
        <v>0.95134857582975563</v>
      </c>
      <c r="D49" s="23">
        <v>3.271954472194092E-2</v>
      </c>
      <c r="E49" s="23">
        <v>3.8225100198257048E-3</v>
      </c>
    </row>
    <row r="50" spans="1:5">
      <c r="A50" s="19" t="s">
        <v>60</v>
      </c>
      <c r="B50" s="23">
        <v>2.5002054738226351E-2</v>
      </c>
      <c r="C50" s="23">
        <v>0.91772828141694751</v>
      </c>
      <c r="D50" s="23">
        <v>5.0497246650776692E-2</v>
      </c>
      <c r="E50" s="23">
        <v>6.7724171940494781E-3</v>
      </c>
    </row>
    <row r="51" spans="1:5">
      <c r="A51" s="19" t="s">
        <v>61</v>
      </c>
      <c r="B51" s="23">
        <v>2.1398547955674436E-3</v>
      </c>
      <c r="C51" s="23">
        <v>0.97936568589988537</v>
      </c>
      <c r="D51" s="23">
        <v>1.7118838364539549E-2</v>
      </c>
      <c r="E51" s="23">
        <v>1.3756209400076424E-3</v>
      </c>
    </row>
    <row r="52" spans="1:5">
      <c r="A52" s="19" t="s">
        <v>62</v>
      </c>
      <c r="B52" s="23">
        <v>5.2248358058627278E-3</v>
      </c>
      <c r="C52" s="23">
        <v>0.9662169251106868</v>
      </c>
      <c r="D52" s="23">
        <v>2.5935329542354744E-2</v>
      </c>
      <c r="E52" s="23">
        <v>2.6229095410957469E-3</v>
      </c>
    </row>
    <row r="53" spans="1:5">
      <c r="A53" s="19" t="s">
        <v>63</v>
      </c>
      <c r="B53" s="23">
        <v>2.2026431718061676E-3</v>
      </c>
      <c r="C53" s="23">
        <v>0.97937525030036043</v>
      </c>
      <c r="D53" s="23">
        <v>1.6820184221065279E-2</v>
      </c>
      <c r="E53" s="23">
        <v>1.6019223067681217E-3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5CFF9-3BD1-4D35-981C-E831142E5C26}">
  <dimension ref="A1:I55"/>
  <sheetViews>
    <sheetView tabSelected="1" workbookViewId="0">
      <pane ySplit="4" topLeftCell="A5" activePane="bottomLeft" state="frozen"/>
      <selection pane="bottomLeft" activeCell="I7" sqref="I7"/>
    </sheetView>
  </sheetViews>
  <sheetFormatPr defaultRowHeight="14.5"/>
  <cols>
    <col min="1" max="1" width="21" style="39" bestFit="1" customWidth="1"/>
    <col min="2" max="2" width="16" style="39" bestFit="1" customWidth="1"/>
    <col min="3" max="3" width="6.4140625" style="39" bestFit="1" customWidth="1"/>
    <col min="4" max="4" width="7.08203125" style="39" bestFit="1" customWidth="1"/>
    <col min="5" max="5" width="21" style="39" bestFit="1" customWidth="1"/>
    <col min="6" max="6" width="16" style="39" bestFit="1" customWidth="1"/>
    <col min="7" max="7" width="6.4140625" style="39" bestFit="1" customWidth="1"/>
    <col min="8" max="8" width="12.58203125" style="39" bestFit="1" customWidth="1"/>
    <col min="9" max="9" width="9" style="39" bestFit="1" customWidth="1"/>
    <col min="10" max="10" width="8.4140625" style="39" bestFit="1" customWidth="1"/>
    <col min="11" max="11" width="13.9140625" style="39" bestFit="1" customWidth="1"/>
    <col min="12" max="12" width="7.9140625" style="39" bestFit="1" customWidth="1"/>
    <col min="13" max="13" width="9" style="39" bestFit="1" customWidth="1"/>
    <col min="14" max="14" width="10.83203125" style="39" bestFit="1" customWidth="1"/>
    <col min="15" max="16384" width="8.6640625" style="39"/>
  </cols>
  <sheetData>
    <row r="1" spans="1:9">
      <c r="A1" s="45" t="s">
        <v>78</v>
      </c>
      <c r="B1" s="45"/>
      <c r="C1" s="45"/>
      <c r="E1" s="46" t="s">
        <v>79</v>
      </c>
      <c r="F1" s="46"/>
      <c r="G1" s="46"/>
    </row>
    <row r="3" spans="1:9">
      <c r="A3" s="37" t="s">
        <v>74</v>
      </c>
      <c r="B3" s="37" t="s">
        <v>73</v>
      </c>
      <c r="C3" s="38"/>
      <c r="E3" s="41" t="s">
        <v>74</v>
      </c>
      <c r="F3" s="41" t="s">
        <v>73</v>
      </c>
      <c r="G3" s="42"/>
    </row>
    <row r="4" spans="1:9">
      <c r="A4" s="37" t="s">
        <v>69</v>
      </c>
      <c r="B4" s="38" t="s">
        <v>76</v>
      </c>
      <c r="C4" s="38" t="s">
        <v>77</v>
      </c>
      <c r="E4" s="41" t="s">
        <v>69</v>
      </c>
      <c r="F4" s="42" t="s">
        <v>76</v>
      </c>
      <c r="G4" s="42" t="s">
        <v>77</v>
      </c>
    </row>
    <row r="5" spans="1:9">
      <c r="A5" s="38" t="s">
        <v>21</v>
      </c>
      <c r="B5" s="40">
        <v>9.5802627363024667E-2</v>
      </c>
      <c r="C5" s="40">
        <v>0.90419737263697531</v>
      </c>
      <c r="E5" s="42" t="s">
        <v>37</v>
      </c>
      <c r="F5" s="43">
        <v>1.2411412624389528E-2</v>
      </c>
      <c r="G5" s="43">
        <v>0.9875885873756105</v>
      </c>
    </row>
    <row r="6" spans="1:9">
      <c r="A6" s="38" t="s">
        <v>17</v>
      </c>
      <c r="B6" s="40">
        <v>9.1464655647308157E-2</v>
      </c>
      <c r="C6" s="40">
        <v>0.90853534435269179</v>
      </c>
      <c r="E6" s="42" t="s">
        <v>47</v>
      </c>
      <c r="F6" s="43">
        <v>1.2540757461750689E-2</v>
      </c>
      <c r="G6" s="43">
        <v>0.98745924253824935</v>
      </c>
    </row>
    <row r="7" spans="1:9">
      <c r="A7" s="38" t="s">
        <v>60</v>
      </c>
      <c r="B7" s="40">
        <v>7.3429087014568448E-2</v>
      </c>
      <c r="C7" s="40">
        <v>0.92657091298543159</v>
      </c>
      <c r="E7" s="42" t="s">
        <v>31</v>
      </c>
      <c r="F7" s="43">
        <v>1.3883736950877006E-2</v>
      </c>
      <c r="G7" s="43">
        <v>0.98611626304912303</v>
      </c>
      <c r="I7" s="48" t="s">
        <v>83</v>
      </c>
    </row>
    <row r="8" spans="1:9">
      <c r="A8" s="38" t="s">
        <v>50</v>
      </c>
      <c r="B8" s="40">
        <v>6.5254259399379025E-2</v>
      </c>
      <c r="C8" s="40">
        <v>0.93474574060062099</v>
      </c>
      <c r="E8" s="42" t="s">
        <v>63</v>
      </c>
      <c r="F8" s="43">
        <v>1.5775769643130648E-2</v>
      </c>
      <c r="G8" s="43">
        <v>0.98422423035686935</v>
      </c>
    </row>
    <row r="9" spans="1:9">
      <c r="A9" s="38" t="s">
        <v>24</v>
      </c>
      <c r="B9" s="40">
        <v>6.416072585871678E-2</v>
      </c>
      <c r="C9" s="40">
        <v>0.93583927414128321</v>
      </c>
      <c r="E9" s="42" t="s">
        <v>54</v>
      </c>
      <c r="F9" s="43">
        <v>1.6230936819172113E-2</v>
      </c>
      <c r="G9" s="43">
        <v>0.98376906318082791</v>
      </c>
    </row>
    <row r="10" spans="1:9">
      <c r="A10" s="38" t="s">
        <v>58</v>
      </c>
      <c r="B10" s="40">
        <v>5.6988703422694319E-2</v>
      </c>
      <c r="C10" s="40">
        <v>0.94301129657730565</v>
      </c>
      <c r="E10" s="42" t="s">
        <v>13</v>
      </c>
      <c r="F10" s="43">
        <v>1.697719142248599E-2</v>
      </c>
      <c r="G10" s="43">
        <v>0.98302280857751401</v>
      </c>
    </row>
    <row r="11" spans="1:9">
      <c r="A11" s="38" t="s">
        <v>34</v>
      </c>
      <c r="B11" s="40">
        <v>5.5526215148148823E-2</v>
      </c>
      <c r="C11" s="40">
        <v>0.94447378485185118</v>
      </c>
      <c r="E11" s="42" t="s">
        <v>16</v>
      </c>
      <c r="F11" s="43">
        <v>1.7464830336373371E-2</v>
      </c>
      <c r="G11" s="43">
        <v>0.98253516966362664</v>
      </c>
    </row>
    <row r="12" spans="1:9">
      <c r="A12" s="38" t="s">
        <v>33</v>
      </c>
      <c r="B12" s="40">
        <v>5.3774703557312252E-2</v>
      </c>
      <c r="C12" s="40">
        <v>0.94622529644268771</v>
      </c>
      <c r="E12" s="42" t="s">
        <v>61</v>
      </c>
      <c r="F12" s="43">
        <v>1.7870143623006155E-2</v>
      </c>
      <c r="G12" s="43">
        <v>0.98212985637699379</v>
      </c>
    </row>
    <row r="13" spans="1:9">
      <c r="A13" s="38" t="s">
        <v>18</v>
      </c>
      <c r="B13" s="40">
        <v>5.1508691976919402E-2</v>
      </c>
      <c r="C13" s="40">
        <v>0.94849130802308057</v>
      </c>
      <c r="E13" s="42" t="s">
        <v>30</v>
      </c>
      <c r="F13" s="43">
        <v>2.0867886229175434E-2</v>
      </c>
      <c r="G13" s="43">
        <v>0.97913211377082454</v>
      </c>
    </row>
    <row r="14" spans="1:9">
      <c r="A14" s="38" t="s">
        <v>41</v>
      </c>
      <c r="B14" s="40">
        <v>4.9919799694847618E-2</v>
      </c>
      <c r="C14" s="40">
        <v>0.95008020030515239</v>
      </c>
      <c r="E14" s="42" t="s">
        <v>40</v>
      </c>
      <c r="F14" s="43">
        <v>2.1966314935064936E-2</v>
      </c>
      <c r="G14" s="43">
        <v>0.97803368506493504</v>
      </c>
    </row>
    <row r="15" spans="1:9">
      <c r="A15" s="38" t="s">
        <v>43</v>
      </c>
      <c r="B15" s="40">
        <v>4.7773787905681243E-2</v>
      </c>
      <c r="C15" s="40">
        <v>0.95222621209431879</v>
      </c>
      <c r="E15" s="42" t="s">
        <v>53</v>
      </c>
      <c r="F15" s="43">
        <v>2.240996350943995E-2</v>
      </c>
      <c r="G15" s="43">
        <v>0.97759003649056009</v>
      </c>
    </row>
    <row r="16" spans="1:9">
      <c r="A16" s="38" t="s">
        <v>45</v>
      </c>
      <c r="B16" s="40">
        <v>4.7497040269998056E-2</v>
      </c>
      <c r="C16" s="40">
        <v>0.95250295973000199</v>
      </c>
      <c r="E16" s="42" t="s">
        <v>28</v>
      </c>
      <c r="F16" s="43">
        <v>2.2928360764912947E-2</v>
      </c>
      <c r="G16" s="43">
        <v>0.977071639235087</v>
      </c>
    </row>
    <row r="17" spans="1:7">
      <c r="A17" s="38" t="s">
        <v>15</v>
      </c>
      <c r="B17" s="40">
        <v>4.4585694593352737E-2</v>
      </c>
      <c r="C17" s="40">
        <v>0.95541430540664729</v>
      </c>
      <c r="E17" s="42" t="s">
        <v>55</v>
      </c>
      <c r="F17" s="43">
        <v>2.4086988438245551E-2</v>
      </c>
      <c r="G17" s="43">
        <v>0.97591301156175447</v>
      </c>
    </row>
    <row r="18" spans="1:7">
      <c r="A18" s="38" t="s">
        <v>57</v>
      </c>
      <c r="B18" s="40">
        <v>4.4275404720109227E-2</v>
      </c>
      <c r="C18" s="40">
        <v>0.95572459527989073</v>
      </c>
      <c r="E18" s="42" t="s">
        <v>14</v>
      </c>
      <c r="F18" s="43">
        <v>2.5366202215076811E-2</v>
      </c>
      <c r="G18" s="43">
        <v>0.97463379778492321</v>
      </c>
    </row>
    <row r="19" spans="1:7">
      <c r="A19" s="38" t="s">
        <v>59</v>
      </c>
      <c r="B19" s="40">
        <v>4.4163915323363757E-2</v>
      </c>
      <c r="C19" s="40">
        <v>0.95583608467663628</v>
      </c>
      <c r="E19" s="42" t="s">
        <v>27</v>
      </c>
      <c r="F19" s="43">
        <v>2.5615268709191362E-2</v>
      </c>
      <c r="G19" s="43">
        <v>0.9743847312908086</v>
      </c>
    </row>
    <row r="20" spans="1:7">
      <c r="A20" s="38" t="s">
        <v>19</v>
      </c>
      <c r="B20" s="40">
        <v>4.2536578741894968E-2</v>
      </c>
      <c r="C20" s="40">
        <v>0.95746342125810502</v>
      </c>
      <c r="E20" s="42" t="s">
        <v>29</v>
      </c>
      <c r="F20" s="43">
        <v>2.5676242798824921E-2</v>
      </c>
      <c r="G20" s="43">
        <v>0.97432375720117503</v>
      </c>
    </row>
    <row r="21" spans="1:7">
      <c r="A21" s="38" t="s">
        <v>26</v>
      </c>
      <c r="B21" s="40">
        <v>4.1660028676119162E-2</v>
      </c>
      <c r="C21" s="40">
        <v>0.95833997132388082</v>
      </c>
      <c r="E21" s="42" t="s">
        <v>49</v>
      </c>
      <c r="F21" s="43">
        <v>2.6166655005946966E-2</v>
      </c>
      <c r="G21" s="43">
        <v>0.97383334499405305</v>
      </c>
    </row>
    <row r="22" spans="1:7">
      <c r="A22" s="38" t="s">
        <v>32</v>
      </c>
      <c r="B22" s="40">
        <v>3.9320388349514561E-2</v>
      </c>
      <c r="C22" s="40">
        <v>0.96067961165048543</v>
      </c>
      <c r="E22" s="42" t="s">
        <v>48</v>
      </c>
      <c r="F22" s="43">
        <v>2.6576720653659389E-2</v>
      </c>
      <c r="G22" s="43">
        <v>0.97342327934634065</v>
      </c>
    </row>
    <row r="23" spans="1:7">
      <c r="A23" s="38" t="s">
        <v>22</v>
      </c>
      <c r="B23" s="40">
        <v>3.9105213310947524E-2</v>
      </c>
      <c r="C23" s="40">
        <v>0.96089478668905248</v>
      </c>
      <c r="E23" s="42" t="s">
        <v>35</v>
      </c>
      <c r="F23" s="43">
        <v>2.6684964928331809E-2</v>
      </c>
      <c r="G23" s="43">
        <v>0.97331503507166817</v>
      </c>
    </row>
    <row r="24" spans="1:7">
      <c r="A24" s="38" t="s">
        <v>42</v>
      </c>
      <c r="B24" s="40">
        <v>3.8519910385199106E-2</v>
      </c>
      <c r="C24" s="40">
        <v>0.96148008961480091</v>
      </c>
      <c r="E24" s="42" t="s">
        <v>38</v>
      </c>
      <c r="F24" s="43">
        <v>2.7497333807323141E-2</v>
      </c>
      <c r="G24" s="43">
        <v>0.97250266619267689</v>
      </c>
    </row>
    <row r="25" spans="1:7">
      <c r="A25" s="38" t="s">
        <v>20</v>
      </c>
      <c r="B25" s="40">
        <v>3.8373237126926862E-2</v>
      </c>
      <c r="C25" s="40">
        <v>0.96162676287307314</v>
      </c>
      <c r="E25" s="42" t="s">
        <v>39</v>
      </c>
      <c r="F25" s="43">
        <v>2.7601057061759811E-2</v>
      </c>
      <c r="G25" s="43">
        <v>0.97239894293824014</v>
      </c>
    </row>
    <row r="26" spans="1:7">
      <c r="A26" s="38" t="s">
        <v>52</v>
      </c>
      <c r="B26" s="40">
        <v>3.8286235186873289E-2</v>
      </c>
      <c r="C26" s="40">
        <v>0.96171376481312676</v>
      </c>
      <c r="E26" s="42" t="s">
        <v>56</v>
      </c>
      <c r="F26" s="43">
        <v>2.8317685276354247E-2</v>
      </c>
      <c r="G26" s="43">
        <v>0.97168231472364575</v>
      </c>
    </row>
    <row r="27" spans="1:7">
      <c r="A27" s="38" t="s">
        <v>51</v>
      </c>
      <c r="B27" s="40">
        <v>3.4717461561061598E-2</v>
      </c>
      <c r="C27" s="40">
        <v>0.96528253843893841</v>
      </c>
      <c r="E27" s="42" t="s">
        <v>25</v>
      </c>
      <c r="F27" s="43">
        <v>2.8765319558391574E-2</v>
      </c>
      <c r="G27" s="43">
        <v>0.97123468044160843</v>
      </c>
    </row>
    <row r="28" spans="1:7">
      <c r="A28" s="38" t="s">
        <v>36</v>
      </c>
      <c r="B28" s="40">
        <v>3.4717202305362897E-2</v>
      </c>
      <c r="C28" s="40">
        <v>0.9652827976946371</v>
      </c>
      <c r="E28" s="42" t="s">
        <v>62</v>
      </c>
      <c r="F28" s="43">
        <v>2.9119189726894555E-2</v>
      </c>
      <c r="G28" s="43">
        <v>0.97088081027310547</v>
      </c>
    </row>
    <row r="29" spans="1:7">
      <c r="A29" s="38" t="s">
        <v>46</v>
      </c>
      <c r="B29" s="40">
        <v>3.3514941390127125E-2</v>
      </c>
      <c r="C29" s="40">
        <v>0.96648505860987288</v>
      </c>
      <c r="E29" s="42" t="s">
        <v>23</v>
      </c>
      <c r="F29" s="43">
        <v>3.0116983323653861E-2</v>
      </c>
      <c r="G29" s="43">
        <v>0.96988301667634613</v>
      </c>
    </row>
    <row r="30" spans="1:7">
      <c r="A30" s="38" t="s">
        <v>44</v>
      </c>
      <c r="B30" s="40">
        <v>3.0475312435976235E-2</v>
      </c>
      <c r="C30" s="40">
        <v>0.96952468756402377</v>
      </c>
      <c r="E30" s="42" t="s">
        <v>44</v>
      </c>
      <c r="F30" s="43">
        <v>3.0475312435976235E-2</v>
      </c>
      <c r="G30" s="43">
        <v>0.96952468756402377</v>
      </c>
    </row>
    <row r="31" spans="1:7">
      <c r="A31" s="38" t="s">
        <v>23</v>
      </c>
      <c r="B31" s="40">
        <v>3.0116983323653861E-2</v>
      </c>
      <c r="C31" s="40">
        <v>0.96988301667634613</v>
      </c>
      <c r="E31" s="42" t="s">
        <v>46</v>
      </c>
      <c r="F31" s="43">
        <v>3.3514941390127125E-2</v>
      </c>
      <c r="G31" s="43">
        <v>0.96648505860987288</v>
      </c>
    </row>
    <row r="32" spans="1:7">
      <c r="A32" s="38" t="s">
        <v>62</v>
      </c>
      <c r="B32" s="40">
        <v>2.9119189726894555E-2</v>
      </c>
      <c r="C32" s="40">
        <v>0.97088081027310547</v>
      </c>
      <c r="E32" s="42" t="s">
        <v>36</v>
      </c>
      <c r="F32" s="43">
        <v>3.4717202305362897E-2</v>
      </c>
      <c r="G32" s="43">
        <v>0.9652827976946371</v>
      </c>
    </row>
    <row r="33" spans="1:7">
      <c r="A33" s="38" t="s">
        <v>25</v>
      </c>
      <c r="B33" s="40">
        <v>2.8765319558391574E-2</v>
      </c>
      <c r="C33" s="40">
        <v>0.97123468044160843</v>
      </c>
      <c r="E33" s="42" t="s">
        <v>51</v>
      </c>
      <c r="F33" s="43">
        <v>3.4717461561061598E-2</v>
      </c>
      <c r="G33" s="43">
        <v>0.96528253843893841</v>
      </c>
    </row>
    <row r="34" spans="1:7">
      <c r="A34" s="38" t="s">
        <v>56</v>
      </c>
      <c r="B34" s="40">
        <v>2.8317685276354247E-2</v>
      </c>
      <c r="C34" s="40">
        <v>0.97168231472364575</v>
      </c>
      <c r="E34" s="42" t="s">
        <v>52</v>
      </c>
      <c r="F34" s="43">
        <v>3.8286235186873289E-2</v>
      </c>
      <c r="G34" s="43">
        <v>0.96171376481312676</v>
      </c>
    </row>
    <row r="35" spans="1:7">
      <c r="A35" s="38" t="s">
        <v>39</v>
      </c>
      <c r="B35" s="40">
        <v>2.7601057061759811E-2</v>
      </c>
      <c r="C35" s="40">
        <v>0.97239894293824014</v>
      </c>
      <c r="E35" s="42" t="s">
        <v>20</v>
      </c>
      <c r="F35" s="43">
        <v>3.8373237126926862E-2</v>
      </c>
      <c r="G35" s="43">
        <v>0.96162676287307314</v>
      </c>
    </row>
    <row r="36" spans="1:7">
      <c r="A36" s="38" t="s">
        <v>38</v>
      </c>
      <c r="B36" s="40">
        <v>2.7497333807323141E-2</v>
      </c>
      <c r="C36" s="40">
        <v>0.97250266619267689</v>
      </c>
      <c r="E36" s="42" t="s">
        <v>42</v>
      </c>
      <c r="F36" s="43">
        <v>3.8519910385199106E-2</v>
      </c>
      <c r="G36" s="43">
        <v>0.96148008961480091</v>
      </c>
    </row>
    <row r="37" spans="1:7">
      <c r="A37" s="38" t="s">
        <v>35</v>
      </c>
      <c r="B37" s="40">
        <v>2.6684964928331809E-2</v>
      </c>
      <c r="C37" s="40">
        <v>0.97331503507166817</v>
      </c>
      <c r="E37" s="42" t="s">
        <v>22</v>
      </c>
      <c r="F37" s="43">
        <v>3.9105213310947524E-2</v>
      </c>
      <c r="G37" s="43">
        <v>0.96089478668905248</v>
      </c>
    </row>
    <row r="38" spans="1:7">
      <c r="A38" s="38" t="s">
        <v>48</v>
      </c>
      <c r="B38" s="40">
        <v>2.6576720653659389E-2</v>
      </c>
      <c r="C38" s="40">
        <v>0.97342327934634065</v>
      </c>
      <c r="E38" s="42" t="s">
        <v>32</v>
      </c>
      <c r="F38" s="43">
        <v>3.9320388349514561E-2</v>
      </c>
      <c r="G38" s="43">
        <v>0.96067961165048543</v>
      </c>
    </row>
    <row r="39" spans="1:7">
      <c r="A39" s="38" t="s">
        <v>49</v>
      </c>
      <c r="B39" s="40">
        <v>2.6166655005946966E-2</v>
      </c>
      <c r="C39" s="40">
        <v>0.97383334499405305</v>
      </c>
      <c r="E39" s="42" t="s">
        <v>26</v>
      </c>
      <c r="F39" s="43">
        <v>4.1660028676119162E-2</v>
      </c>
      <c r="G39" s="43">
        <v>0.95833997132388082</v>
      </c>
    </row>
    <row r="40" spans="1:7">
      <c r="A40" s="38" t="s">
        <v>29</v>
      </c>
      <c r="B40" s="40">
        <v>2.5676242798824921E-2</v>
      </c>
      <c r="C40" s="40">
        <v>0.97432375720117503</v>
      </c>
      <c r="E40" s="42" t="s">
        <v>19</v>
      </c>
      <c r="F40" s="43">
        <v>4.2536578741894968E-2</v>
      </c>
      <c r="G40" s="43">
        <v>0.95746342125810502</v>
      </c>
    </row>
    <row r="41" spans="1:7">
      <c r="A41" s="38" t="s">
        <v>27</v>
      </c>
      <c r="B41" s="40">
        <v>2.5615268709191362E-2</v>
      </c>
      <c r="C41" s="40">
        <v>0.9743847312908086</v>
      </c>
      <c r="E41" s="42" t="s">
        <v>59</v>
      </c>
      <c r="F41" s="43">
        <v>4.4163915323363757E-2</v>
      </c>
      <c r="G41" s="43">
        <v>0.95583608467663628</v>
      </c>
    </row>
    <row r="42" spans="1:7">
      <c r="A42" s="38" t="s">
        <v>14</v>
      </c>
      <c r="B42" s="40">
        <v>2.5366202215076811E-2</v>
      </c>
      <c r="C42" s="40">
        <v>0.97463379778492321</v>
      </c>
      <c r="E42" s="42" t="s">
        <v>57</v>
      </c>
      <c r="F42" s="43">
        <v>4.4275404720109227E-2</v>
      </c>
      <c r="G42" s="43">
        <v>0.95572459527989073</v>
      </c>
    </row>
    <row r="43" spans="1:7">
      <c r="A43" s="38" t="s">
        <v>55</v>
      </c>
      <c r="B43" s="40">
        <v>2.4086988438245551E-2</v>
      </c>
      <c r="C43" s="40">
        <v>0.97591301156175447</v>
      </c>
      <c r="E43" s="42" t="s">
        <v>15</v>
      </c>
      <c r="F43" s="43">
        <v>4.4585694593352737E-2</v>
      </c>
      <c r="G43" s="43">
        <v>0.95541430540664729</v>
      </c>
    </row>
    <row r="44" spans="1:7">
      <c r="A44" s="38" t="s">
        <v>28</v>
      </c>
      <c r="B44" s="40">
        <v>2.2928360764912947E-2</v>
      </c>
      <c r="C44" s="40">
        <v>0.977071639235087</v>
      </c>
      <c r="E44" s="42" t="s">
        <v>45</v>
      </c>
      <c r="F44" s="43">
        <v>4.7497040269998056E-2</v>
      </c>
      <c r="G44" s="43">
        <v>0.95250295973000199</v>
      </c>
    </row>
    <row r="45" spans="1:7">
      <c r="A45" s="38" t="s">
        <v>53</v>
      </c>
      <c r="B45" s="40">
        <v>2.240996350943995E-2</v>
      </c>
      <c r="C45" s="40">
        <v>0.97759003649056009</v>
      </c>
      <c r="E45" s="42" t="s">
        <v>43</v>
      </c>
      <c r="F45" s="43">
        <v>4.7773787905681243E-2</v>
      </c>
      <c r="G45" s="43">
        <v>0.95222621209431879</v>
      </c>
    </row>
    <row r="46" spans="1:7">
      <c r="A46" s="38" t="s">
        <v>40</v>
      </c>
      <c r="B46" s="40">
        <v>2.1966314935064936E-2</v>
      </c>
      <c r="C46" s="40">
        <v>0.97803368506493504</v>
      </c>
      <c r="E46" s="42" t="s">
        <v>41</v>
      </c>
      <c r="F46" s="43">
        <v>4.9919799694847618E-2</v>
      </c>
      <c r="G46" s="43">
        <v>0.95008020030515239</v>
      </c>
    </row>
    <row r="47" spans="1:7">
      <c r="A47" s="38" t="s">
        <v>30</v>
      </c>
      <c r="B47" s="40">
        <v>2.0867886229175434E-2</v>
      </c>
      <c r="C47" s="40">
        <v>0.97913211377082454</v>
      </c>
      <c r="E47" s="42" t="s">
        <v>18</v>
      </c>
      <c r="F47" s="43">
        <v>5.1508691976919402E-2</v>
      </c>
      <c r="G47" s="43">
        <v>0.94849130802308057</v>
      </c>
    </row>
    <row r="48" spans="1:7">
      <c r="A48" s="38" t="s">
        <v>61</v>
      </c>
      <c r="B48" s="40">
        <v>1.7870143623006155E-2</v>
      </c>
      <c r="C48" s="40">
        <v>0.98212985637699379</v>
      </c>
      <c r="E48" s="42" t="s">
        <v>33</v>
      </c>
      <c r="F48" s="43">
        <v>5.3774703557312252E-2</v>
      </c>
      <c r="G48" s="43">
        <v>0.94622529644268771</v>
      </c>
    </row>
    <row r="49" spans="1:7">
      <c r="A49" s="38" t="s">
        <v>16</v>
      </c>
      <c r="B49" s="40">
        <v>1.7464830336373371E-2</v>
      </c>
      <c r="C49" s="40">
        <v>0.98253516966362664</v>
      </c>
      <c r="E49" s="42" t="s">
        <v>34</v>
      </c>
      <c r="F49" s="43">
        <v>5.5526215148148823E-2</v>
      </c>
      <c r="G49" s="43">
        <v>0.94447378485185118</v>
      </c>
    </row>
    <row r="50" spans="1:7">
      <c r="A50" s="38" t="s">
        <v>13</v>
      </c>
      <c r="B50" s="40">
        <v>1.697719142248599E-2</v>
      </c>
      <c r="C50" s="40">
        <v>0.98302280857751401</v>
      </c>
      <c r="E50" s="42" t="s">
        <v>58</v>
      </c>
      <c r="F50" s="43">
        <v>5.6988703422694319E-2</v>
      </c>
      <c r="G50" s="43">
        <v>0.94301129657730565</v>
      </c>
    </row>
    <row r="51" spans="1:7">
      <c r="A51" s="38" t="s">
        <v>54</v>
      </c>
      <c r="B51" s="40">
        <v>1.6230936819172113E-2</v>
      </c>
      <c r="C51" s="40">
        <v>0.98376906318082791</v>
      </c>
      <c r="E51" s="42" t="s">
        <v>24</v>
      </c>
      <c r="F51" s="43">
        <v>6.416072585871678E-2</v>
      </c>
      <c r="G51" s="43">
        <v>0.93583927414128321</v>
      </c>
    </row>
    <row r="52" spans="1:7">
      <c r="A52" s="38" t="s">
        <v>63</v>
      </c>
      <c r="B52" s="40">
        <v>1.5775769643130648E-2</v>
      </c>
      <c r="C52" s="40">
        <v>0.98422423035686935</v>
      </c>
      <c r="E52" s="42" t="s">
        <v>50</v>
      </c>
      <c r="F52" s="43">
        <v>6.5254259399379025E-2</v>
      </c>
      <c r="G52" s="43">
        <v>0.93474574060062099</v>
      </c>
    </row>
    <row r="53" spans="1:7">
      <c r="A53" s="38" t="s">
        <v>31</v>
      </c>
      <c r="B53" s="40">
        <v>1.3883736950877006E-2</v>
      </c>
      <c r="C53" s="40">
        <v>0.98611626304912303</v>
      </c>
      <c r="E53" s="42" t="s">
        <v>60</v>
      </c>
      <c r="F53" s="43">
        <v>7.3429087014568448E-2</v>
      </c>
      <c r="G53" s="43">
        <v>0.92657091298543159</v>
      </c>
    </row>
    <row r="54" spans="1:7">
      <c r="A54" s="38" t="s">
        <v>47</v>
      </c>
      <c r="B54" s="40">
        <v>1.2540757461750689E-2</v>
      </c>
      <c r="C54" s="40">
        <v>0.98745924253824935</v>
      </c>
      <c r="E54" s="42" t="s">
        <v>17</v>
      </c>
      <c r="F54" s="43">
        <v>9.1464655647308157E-2</v>
      </c>
      <c r="G54" s="43">
        <v>0.90853534435269179</v>
      </c>
    </row>
    <row r="55" spans="1:7">
      <c r="A55" s="38" t="s">
        <v>37</v>
      </c>
      <c r="B55" s="40">
        <v>1.2411412624389528E-2</v>
      </c>
      <c r="C55" s="40">
        <v>0.9875885873756105</v>
      </c>
      <c r="E55" s="42" t="s">
        <v>21</v>
      </c>
      <c r="F55" s="43">
        <v>9.5802627363024667E-2</v>
      </c>
      <c r="G55" s="43">
        <v>0.90419737263697531</v>
      </c>
    </row>
  </sheetData>
  <sortState xmlns:xlrd2="http://schemas.microsoft.com/office/spreadsheetml/2017/richdata2" ref="E3:G55">
    <sortCondition ref="F5"/>
  </sortState>
  <conditionalFormatting pivot="1" sqref="B5:B55">
    <cfRule type="top10" dxfId="28" priority="3" rank="5"/>
  </conditionalFormatting>
  <conditionalFormatting pivot="1" sqref="F5:F55">
    <cfRule type="top10" dxfId="27" priority="1" bottom="1" rank="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AA56-5EFB-4AEA-8A30-8708C8CE64EB}">
  <dimension ref="A3:C9"/>
  <sheetViews>
    <sheetView workbookViewId="0">
      <selection activeCell="D16" sqref="D16"/>
    </sheetView>
  </sheetViews>
  <sheetFormatPr defaultRowHeight="14"/>
  <cols>
    <col min="1" max="1" width="21" bestFit="1" customWidth="1"/>
    <col min="2" max="2" width="16" bestFit="1" customWidth="1"/>
    <col min="3" max="3" width="6.4140625" bestFit="1" customWidth="1"/>
  </cols>
  <sheetData>
    <row r="3" spans="1:3" ht="14.5">
      <c r="A3" s="41" t="s">
        <v>74</v>
      </c>
      <c r="B3" s="41" t="s">
        <v>73</v>
      </c>
      <c r="C3" s="42"/>
    </row>
    <row r="4" spans="1:3" ht="14.5">
      <c r="A4" s="41" t="s">
        <v>69</v>
      </c>
      <c r="B4" s="42" t="s">
        <v>76</v>
      </c>
      <c r="C4" s="42" t="s">
        <v>77</v>
      </c>
    </row>
    <row r="5" spans="1:3" ht="14.5">
      <c r="A5" s="42" t="s">
        <v>17</v>
      </c>
      <c r="B5" s="43">
        <v>9.1464655647308157E-2</v>
      </c>
      <c r="C5" s="43">
        <v>0.90853534435269179</v>
      </c>
    </row>
    <row r="6" spans="1:3" ht="14.5">
      <c r="A6" s="42" t="s">
        <v>45</v>
      </c>
      <c r="B6" s="43">
        <v>4.7497040269998056E-2</v>
      </c>
      <c r="C6" s="43">
        <v>0.95250295973000199</v>
      </c>
    </row>
    <row r="7" spans="1:3" ht="14.5">
      <c r="A7" s="42" t="s">
        <v>22</v>
      </c>
      <c r="B7" s="43">
        <v>3.9105213310947524E-2</v>
      </c>
      <c r="C7" s="43">
        <v>0.96089478668905248</v>
      </c>
    </row>
    <row r="8" spans="1:3" ht="14.5">
      <c r="A8" s="42" t="s">
        <v>56</v>
      </c>
      <c r="B8" s="43">
        <v>2.8317685276354247E-2</v>
      </c>
      <c r="C8" s="43">
        <v>0.97168231472364575</v>
      </c>
    </row>
    <row r="9" spans="1:3" ht="14.5">
      <c r="A9" s="42" t="s">
        <v>48</v>
      </c>
      <c r="B9" s="43">
        <v>2.6576720653659389E-2</v>
      </c>
      <c r="C9" s="43">
        <v>0.97342327934634065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81AE3-6C40-4062-9F02-ABEC05F0B0A0}">
  <dimension ref="A1:D613"/>
  <sheetViews>
    <sheetView workbookViewId="0">
      <pane ySplit="1" topLeftCell="A104" activePane="bottomLeft" state="frozen"/>
      <selection pane="bottomLeft" activeCell="D247" sqref="D247"/>
    </sheetView>
  </sheetViews>
  <sheetFormatPr defaultRowHeight="14"/>
  <cols>
    <col min="1" max="1" width="16.6640625" bestFit="1" customWidth="1"/>
    <col min="2" max="2" width="14.5" bestFit="1" customWidth="1"/>
    <col min="3" max="3" width="27.1640625" bestFit="1" customWidth="1"/>
    <col min="4" max="4" width="20.4140625" bestFit="1" customWidth="1"/>
  </cols>
  <sheetData>
    <row r="1" spans="1:4">
      <c r="A1" s="15" t="s">
        <v>70</v>
      </c>
      <c r="B1" s="17" t="s">
        <v>75</v>
      </c>
      <c r="C1" s="16" t="s">
        <v>71</v>
      </c>
      <c r="D1" s="16" t="s">
        <v>72</v>
      </c>
    </row>
    <row r="2" spans="1:4">
      <c r="A2" s="18" t="s">
        <v>13</v>
      </c>
      <c r="B2" s="34" t="s">
        <v>76</v>
      </c>
      <c r="C2" s="19" t="s">
        <v>1</v>
      </c>
      <c r="D2" s="33">
        <v>13000</v>
      </c>
    </row>
    <row r="3" spans="1:4">
      <c r="A3" s="18" t="s">
        <v>13</v>
      </c>
      <c r="B3" s="34" t="s">
        <v>76</v>
      </c>
      <c r="C3" s="19" t="s">
        <v>3</v>
      </c>
      <c r="D3" s="33">
        <v>63300</v>
      </c>
    </row>
    <row r="4" spans="1:4">
      <c r="A4" s="18" t="s">
        <v>13</v>
      </c>
      <c r="B4" s="34" t="s">
        <v>76</v>
      </c>
      <c r="C4" s="19" t="s">
        <v>2</v>
      </c>
      <c r="D4" s="33">
        <v>5800</v>
      </c>
    </row>
    <row r="5" spans="1:4">
      <c r="A5" s="18" t="s">
        <v>13</v>
      </c>
      <c r="B5" s="34" t="s">
        <v>77</v>
      </c>
      <c r="C5" s="19" t="s">
        <v>4</v>
      </c>
      <c r="D5" s="33">
        <v>54200</v>
      </c>
    </row>
    <row r="6" spans="1:4">
      <c r="A6" s="18" t="s">
        <v>13</v>
      </c>
      <c r="B6" s="34" t="s">
        <v>77</v>
      </c>
      <c r="C6" s="19" t="s">
        <v>6</v>
      </c>
      <c r="D6" s="33">
        <v>100</v>
      </c>
    </row>
    <row r="7" spans="1:4">
      <c r="A7" s="18" t="s">
        <v>13</v>
      </c>
      <c r="B7" s="34" t="s">
        <v>77</v>
      </c>
      <c r="C7" s="19" t="s">
        <v>11</v>
      </c>
      <c r="D7" s="33">
        <v>127000</v>
      </c>
    </row>
    <row r="8" spans="1:4">
      <c r="A8" s="18" t="s">
        <v>13</v>
      </c>
      <c r="B8" s="34" t="s">
        <v>77</v>
      </c>
      <c r="C8" s="19" t="s">
        <v>5</v>
      </c>
      <c r="D8" s="33">
        <v>441200</v>
      </c>
    </row>
    <row r="9" spans="1:4">
      <c r="A9" s="18" t="s">
        <v>13</v>
      </c>
      <c r="B9" s="34" t="s">
        <v>77</v>
      </c>
      <c r="C9" s="19" t="s">
        <v>10</v>
      </c>
      <c r="D9" s="33">
        <v>4102200</v>
      </c>
    </row>
    <row r="10" spans="1:4">
      <c r="A10" s="18" t="s">
        <v>13</v>
      </c>
      <c r="B10" s="34" t="s">
        <v>77</v>
      </c>
      <c r="C10" s="19" t="s">
        <v>8</v>
      </c>
      <c r="D10" s="33">
        <v>0</v>
      </c>
    </row>
    <row r="11" spans="1:4">
      <c r="A11" s="18" t="s">
        <v>13</v>
      </c>
      <c r="B11" s="34" t="s">
        <v>77</v>
      </c>
      <c r="C11" s="19" t="s">
        <v>9</v>
      </c>
      <c r="D11" s="33">
        <v>0</v>
      </c>
    </row>
    <row r="12" spans="1:4">
      <c r="A12" s="18" t="s">
        <v>13</v>
      </c>
      <c r="B12" s="34" t="s">
        <v>77</v>
      </c>
      <c r="C12" s="19" t="s">
        <v>7</v>
      </c>
      <c r="D12" s="33">
        <v>100</v>
      </c>
    </row>
    <row r="13" spans="1:4">
      <c r="A13" s="18" t="s">
        <v>13</v>
      </c>
      <c r="B13" s="34" t="s">
        <v>77</v>
      </c>
      <c r="C13" s="19" t="s">
        <v>12</v>
      </c>
      <c r="D13" s="33">
        <v>29000</v>
      </c>
    </row>
    <row r="14" spans="1:4">
      <c r="A14" s="18" t="s">
        <v>14</v>
      </c>
      <c r="B14" s="34" t="s">
        <v>76</v>
      </c>
      <c r="C14" s="19" t="s">
        <v>1</v>
      </c>
      <c r="D14" s="33">
        <v>2700</v>
      </c>
    </row>
    <row r="15" spans="1:4">
      <c r="A15" s="18" t="s">
        <v>14</v>
      </c>
      <c r="B15" s="34" t="s">
        <v>76</v>
      </c>
      <c r="C15" s="19" t="s">
        <v>3</v>
      </c>
      <c r="D15" s="33">
        <v>10600</v>
      </c>
    </row>
    <row r="16" spans="1:4">
      <c r="A16" s="18" t="s">
        <v>14</v>
      </c>
      <c r="B16" s="34" t="s">
        <v>76</v>
      </c>
      <c r="C16" s="19" t="s">
        <v>2</v>
      </c>
      <c r="D16" s="33">
        <v>900</v>
      </c>
    </row>
    <row r="17" spans="1:4">
      <c r="A17" s="18" t="s">
        <v>14</v>
      </c>
      <c r="B17" s="34" t="s">
        <v>77</v>
      </c>
      <c r="C17" s="19" t="s">
        <v>4</v>
      </c>
      <c r="D17" s="33">
        <v>9600</v>
      </c>
    </row>
    <row r="18" spans="1:4">
      <c r="A18" s="18" t="s">
        <v>14</v>
      </c>
      <c r="B18" s="34" t="s">
        <v>77</v>
      </c>
      <c r="C18" s="19" t="s">
        <v>6</v>
      </c>
      <c r="D18" s="33">
        <v>0</v>
      </c>
    </row>
    <row r="19" spans="1:4">
      <c r="A19" s="18" t="s">
        <v>14</v>
      </c>
      <c r="B19" s="34" t="s">
        <v>77</v>
      </c>
      <c r="C19" s="19" t="s">
        <v>11</v>
      </c>
      <c r="D19" s="33">
        <v>29800</v>
      </c>
    </row>
    <row r="20" spans="1:4">
      <c r="A20" s="18" t="s">
        <v>14</v>
      </c>
      <c r="B20" s="34" t="s">
        <v>77</v>
      </c>
      <c r="C20" s="19" t="s">
        <v>5</v>
      </c>
      <c r="D20" s="33">
        <v>46800</v>
      </c>
    </row>
    <row r="21" spans="1:4">
      <c r="A21" s="18" t="s">
        <v>14</v>
      </c>
      <c r="B21" s="34" t="s">
        <v>77</v>
      </c>
      <c r="C21" s="19" t="s">
        <v>10</v>
      </c>
      <c r="D21" s="33">
        <v>454300</v>
      </c>
    </row>
    <row r="22" spans="1:4">
      <c r="A22" s="18" t="s">
        <v>14</v>
      </c>
      <c r="B22" s="34" t="s">
        <v>77</v>
      </c>
      <c r="C22" s="19" t="s">
        <v>8</v>
      </c>
      <c r="D22" s="33">
        <v>0</v>
      </c>
    </row>
    <row r="23" spans="1:4">
      <c r="A23" s="18" t="s">
        <v>14</v>
      </c>
      <c r="B23" s="34" t="s">
        <v>77</v>
      </c>
      <c r="C23" s="19" t="s">
        <v>9</v>
      </c>
      <c r="D23" s="33">
        <v>0</v>
      </c>
    </row>
    <row r="24" spans="1:4">
      <c r="A24" s="18" t="s">
        <v>14</v>
      </c>
      <c r="B24" s="34" t="s">
        <v>77</v>
      </c>
      <c r="C24" s="19" t="s">
        <v>7</v>
      </c>
      <c r="D24" s="33">
        <v>0</v>
      </c>
    </row>
    <row r="25" spans="1:4">
      <c r="A25" s="18" t="s">
        <v>14</v>
      </c>
      <c r="B25" s="34" t="s">
        <v>77</v>
      </c>
      <c r="C25" s="19" t="s">
        <v>12</v>
      </c>
      <c r="D25" s="33">
        <v>5100</v>
      </c>
    </row>
    <row r="26" spans="1:4">
      <c r="A26" s="18" t="s">
        <v>15</v>
      </c>
      <c r="B26" s="34" t="s">
        <v>76</v>
      </c>
      <c r="C26" s="19" t="s">
        <v>1</v>
      </c>
      <c r="D26" s="33">
        <v>89800</v>
      </c>
    </row>
    <row r="27" spans="1:4">
      <c r="A27" s="18" t="s">
        <v>15</v>
      </c>
      <c r="B27" s="34" t="s">
        <v>76</v>
      </c>
      <c r="C27" s="19" t="s">
        <v>3</v>
      </c>
      <c r="D27" s="33">
        <v>175700</v>
      </c>
    </row>
    <row r="28" spans="1:4">
      <c r="A28" s="18" t="s">
        <v>15</v>
      </c>
      <c r="B28" s="34" t="s">
        <v>76</v>
      </c>
      <c r="C28" s="19" t="s">
        <v>2</v>
      </c>
      <c r="D28" s="33">
        <v>25600</v>
      </c>
    </row>
    <row r="29" spans="1:4">
      <c r="A29" s="18" t="s">
        <v>15</v>
      </c>
      <c r="B29" s="34" t="s">
        <v>77</v>
      </c>
      <c r="C29" s="19" t="s">
        <v>4</v>
      </c>
      <c r="D29" s="33">
        <v>68600</v>
      </c>
    </row>
    <row r="30" spans="1:4">
      <c r="A30" s="18" t="s">
        <v>15</v>
      </c>
      <c r="B30" s="34" t="s">
        <v>77</v>
      </c>
      <c r="C30" s="19" t="s">
        <v>6</v>
      </c>
      <c r="D30" s="33">
        <v>600</v>
      </c>
    </row>
    <row r="31" spans="1:4">
      <c r="A31" s="18" t="s">
        <v>15</v>
      </c>
      <c r="B31" s="34" t="s">
        <v>77</v>
      </c>
      <c r="C31" s="19" t="s">
        <v>11</v>
      </c>
      <c r="D31" s="33">
        <v>197700</v>
      </c>
    </row>
    <row r="32" spans="1:4">
      <c r="A32" s="18" t="s">
        <v>15</v>
      </c>
      <c r="B32" s="34" t="s">
        <v>77</v>
      </c>
      <c r="C32" s="19" t="s">
        <v>5</v>
      </c>
      <c r="D32" s="33">
        <v>437100</v>
      </c>
    </row>
    <row r="33" spans="1:4">
      <c r="A33" s="18" t="s">
        <v>15</v>
      </c>
      <c r="B33" s="34" t="s">
        <v>77</v>
      </c>
      <c r="C33" s="19" t="s">
        <v>10</v>
      </c>
      <c r="D33" s="33">
        <v>5469000</v>
      </c>
    </row>
    <row r="34" spans="1:4">
      <c r="A34" s="18" t="s">
        <v>15</v>
      </c>
      <c r="B34" s="34" t="s">
        <v>77</v>
      </c>
      <c r="C34" s="19" t="s">
        <v>8</v>
      </c>
      <c r="D34" s="33">
        <v>0</v>
      </c>
    </row>
    <row r="35" spans="1:4">
      <c r="A35" s="18" t="s">
        <v>15</v>
      </c>
      <c r="B35" s="34" t="s">
        <v>77</v>
      </c>
      <c r="C35" s="19" t="s">
        <v>9</v>
      </c>
      <c r="D35" s="33">
        <v>0</v>
      </c>
    </row>
    <row r="36" spans="1:4">
      <c r="A36" s="18" t="s">
        <v>15</v>
      </c>
      <c r="B36" s="34" t="s">
        <v>77</v>
      </c>
      <c r="C36" s="19" t="s">
        <v>7</v>
      </c>
      <c r="D36" s="33">
        <v>700</v>
      </c>
    </row>
    <row r="37" spans="1:4">
      <c r="A37" s="18" t="s">
        <v>15</v>
      </c>
      <c r="B37" s="34" t="s">
        <v>77</v>
      </c>
      <c r="C37" s="19" t="s">
        <v>12</v>
      </c>
      <c r="D37" s="33">
        <v>64200</v>
      </c>
    </row>
    <row r="38" spans="1:4">
      <c r="A38" s="18" t="s">
        <v>16</v>
      </c>
      <c r="B38" s="34" t="s">
        <v>76</v>
      </c>
      <c r="C38" s="19" t="s">
        <v>1</v>
      </c>
      <c r="D38" s="33">
        <v>7100</v>
      </c>
    </row>
    <row r="39" spans="1:4">
      <c r="A39" s="18" t="s">
        <v>16</v>
      </c>
      <c r="B39" s="34" t="s">
        <v>76</v>
      </c>
      <c r="C39" s="19" t="s">
        <v>3</v>
      </c>
      <c r="D39" s="33">
        <v>37000</v>
      </c>
    </row>
    <row r="40" spans="1:4">
      <c r="A40" s="18" t="s">
        <v>16</v>
      </c>
      <c r="B40" s="34" t="s">
        <v>76</v>
      </c>
      <c r="C40" s="19" t="s">
        <v>2</v>
      </c>
      <c r="D40" s="33">
        <v>3200</v>
      </c>
    </row>
    <row r="41" spans="1:4">
      <c r="A41" s="18" t="s">
        <v>16</v>
      </c>
      <c r="B41" s="34" t="s">
        <v>77</v>
      </c>
      <c r="C41" s="19" t="s">
        <v>4</v>
      </c>
      <c r="D41" s="33">
        <v>37000</v>
      </c>
    </row>
    <row r="42" spans="1:4">
      <c r="A42" s="18" t="s">
        <v>16</v>
      </c>
      <c r="B42" s="34" t="s">
        <v>77</v>
      </c>
      <c r="C42" s="19" t="s">
        <v>6</v>
      </c>
      <c r="D42" s="33">
        <v>200</v>
      </c>
    </row>
    <row r="43" spans="1:4">
      <c r="A43" s="18" t="s">
        <v>16</v>
      </c>
      <c r="B43" s="34" t="s">
        <v>77</v>
      </c>
      <c r="C43" s="19" t="s">
        <v>11</v>
      </c>
      <c r="D43" s="33">
        <v>90700</v>
      </c>
    </row>
    <row r="44" spans="1:4">
      <c r="A44" s="18" t="s">
        <v>16</v>
      </c>
      <c r="B44" s="34" t="s">
        <v>77</v>
      </c>
      <c r="C44" s="19" t="s">
        <v>5</v>
      </c>
      <c r="D44" s="33">
        <v>276700</v>
      </c>
    </row>
    <row r="45" spans="1:4">
      <c r="A45" s="18" t="s">
        <v>16</v>
      </c>
      <c r="B45" s="34" t="s">
        <v>77</v>
      </c>
      <c r="C45" s="19" t="s">
        <v>10</v>
      </c>
      <c r="D45" s="33">
        <v>2246100</v>
      </c>
    </row>
    <row r="46" spans="1:4">
      <c r="A46" s="18" t="s">
        <v>16</v>
      </c>
      <c r="B46" s="34" t="s">
        <v>77</v>
      </c>
      <c r="C46" s="19" t="s">
        <v>8</v>
      </c>
      <c r="D46" s="33">
        <v>0</v>
      </c>
    </row>
    <row r="47" spans="1:4">
      <c r="A47" s="18" t="s">
        <v>16</v>
      </c>
      <c r="B47" s="34" t="s">
        <v>77</v>
      </c>
      <c r="C47" s="19" t="s">
        <v>9</v>
      </c>
      <c r="D47" s="33">
        <v>0</v>
      </c>
    </row>
    <row r="48" spans="1:4">
      <c r="A48" s="18" t="s">
        <v>16</v>
      </c>
      <c r="B48" s="34" t="s">
        <v>77</v>
      </c>
      <c r="C48" s="19" t="s">
        <v>7</v>
      </c>
      <c r="D48" s="33">
        <v>0</v>
      </c>
    </row>
    <row r="49" spans="1:4">
      <c r="A49" s="18" t="s">
        <v>16</v>
      </c>
      <c r="B49" s="34" t="s">
        <v>77</v>
      </c>
      <c r="C49" s="19" t="s">
        <v>12</v>
      </c>
      <c r="D49" s="33">
        <v>10300</v>
      </c>
    </row>
    <row r="50" spans="1:4">
      <c r="A50" s="18" t="s">
        <v>17</v>
      </c>
      <c r="B50" s="34" t="s">
        <v>76</v>
      </c>
      <c r="C50" s="19" t="s">
        <v>1</v>
      </c>
      <c r="D50" s="33">
        <v>1256600</v>
      </c>
    </row>
    <row r="51" spans="1:4">
      <c r="A51" s="18" t="s">
        <v>17</v>
      </c>
      <c r="B51" s="34" t="s">
        <v>76</v>
      </c>
      <c r="C51" s="19" t="s">
        <v>3</v>
      </c>
      <c r="D51" s="33">
        <v>1703200</v>
      </c>
    </row>
    <row r="52" spans="1:4">
      <c r="A52" s="18" t="s">
        <v>17</v>
      </c>
      <c r="B52" s="34" t="s">
        <v>76</v>
      </c>
      <c r="C52" s="19" t="s">
        <v>2</v>
      </c>
      <c r="D52" s="33">
        <v>410700</v>
      </c>
    </row>
    <row r="53" spans="1:4">
      <c r="A53" s="18" t="s">
        <v>17</v>
      </c>
      <c r="B53" s="34" t="s">
        <v>77</v>
      </c>
      <c r="C53" s="19" t="s">
        <v>4</v>
      </c>
      <c r="D53" s="33">
        <v>201600</v>
      </c>
    </row>
    <row r="54" spans="1:4">
      <c r="A54" s="18" t="s">
        <v>17</v>
      </c>
      <c r="B54" s="34" t="s">
        <v>77</v>
      </c>
      <c r="C54" s="19" t="s">
        <v>6</v>
      </c>
      <c r="D54" s="33">
        <v>10100</v>
      </c>
    </row>
    <row r="55" spans="1:4">
      <c r="A55" s="18" t="s">
        <v>17</v>
      </c>
      <c r="B55" s="34" t="s">
        <v>77</v>
      </c>
      <c r="C55" s="19" t="s">
        <v>11</v>
      </c>
      <c r="D55" s="33">
        <v>735300</v>
      </c>
    </row>
    <row r="56" spans="1:4">
      <c r="A56" s="18" t="s">
        <v>17</v>
      </c>
      <c r="B56" s="34" t="s">
        <v>77</v>
      </c>
      <c r="C56" s="19" t="s">
        <v>5</v>
      </c>
      <c r="D56" s="33">
        <v>1314600</v>
      </c>
    </row>
    <row r="57" spans="1:4">
      <c r="A57" s="18" t="s">
        <v>17</v>
      </c>
      <c r="B57" s="34" t="s">
        <v>77</v>
      </c>
      <c r="C57" s="19" t="s">
        <v>10</v>
      </c>
      <c r="D57" s="33">
        <v>31191900</v>
      </c>
    </row>
    <row r="58" spans="1:4">
      <c r="A58" s="18" t="s">
        <v>17</v>
      </c>
      <c r="B58" s="34" t="s">
        <v>77</v>
      </c>
      <c r="C58" s="19" t="s">
        <v>8</v>
      </c>
      <c r="D58" s="33">
        <v>16900</v>
      </c>
    </row>
    <row r="59" spans="1:4">
      <c r="A59" s="18" t="s">
        <v>17</v>
      </c>
      <c r="B59" s="34" t="s">
        <v>77</v>
      </c>
      <c r="C59" s="19" t="s">
        <v>9</v>
      </c>
      <c r="D59" s="33">
        <v>0</v>
      </c>
    </row>
    <row r="60" spans="1:4">
      <c r="A60" s="18" t="s">
        <v>17</v>
      </c>
      <c r="B60" s="34" t="s">
        <v>77</v>
      </c>
      <c r="C60" s="19" t="s">
        <v>7</v>
      </c>
      <c r="D60" s="33">
        <v>1500</v>
      </c>
    </row>
    <row r="61" spans="1:4">
      <c r="A61" s="18" t="s">
        <v>17</v>
      </c>
      <c r="B61" s="34" t="s">
        <v>77</v>
      </c>
      <c r="C61" s="19" t="s">
        <v>12</v>
      </c>
      <c r="D61" s="33">
        <v>7900</v>
      </c>
    </row>
    <row r="62" spans="1:4">
      <c r="A62" s="18" t="s">
        <v>18</v>
      </c>
      <c r="B62" s="34" t="s">
        <v>76</v>
      </c>
      <c r="C62" s="19" t="s">
        <v>1</v>
      </c>
      <c r="D62" s="33">
        <v>90100</v>
      </c>
    </row>
    <row r="63" spans="1:4">
      <c r="A63" s="18" t="s">
        <v>18</v>
      </c>
      <c r="B63" s="34" t="s">
        <v>76</v>
      </c>
      <c r="C63" s="19" t="s">
        <v>3</v>
      </c>
      <c r="D63" s="33">
        <v>152700</v>
      </c>
    </row>
    <row r="64" spans="1:4">
      <c r="A64" s="18" t="s">
        <v>18</v>
      </c>
      <c r="B64" s="34" t="s">
        <v>76</v>
      </c>
      <c r="C64" s="19" t="s">
        <v>2</v>
      </c>
      <c r="D64" s="33">
        <v>37500</v>
      </c>
    </row>
    <row r="65" spans="1:4">
      <c r="A65" s="18" t="s">
        <v>18</v>
      </c>
      <c r="B65" s="34" t="s">
        <v>77</v>
      </c>
      <c r="C65" s="19" t="s">
        <v>4</v>
      </c>
      <c r="D65" s="33">
        <v>68100</v>
      </c>
    </row>
    <row r="66" spans="1:4">
      <c r="A66" s="18" t="s">
        <v>18</v>
      </c>
      <c r="B66" s="34" t="s">
        <v>77</v>
      </c>
      <c r="C66" s="19" t="s">
        <v>6</v>
      </c>
      <c r="D66" s="33">
        <v>300</v>
      </c>
    </row>
    <row r="67" spans="1:4">
      <c r="A67" s="18" t="s">
        <v>18</v>
      </c>
      <c r="B67" s="34" t="s">
        <v>77</v>
      </c>
      <c r="C67" s="19" t="s">
        <v>11</v>
      </c>
      <c r="D67" s="33">
        <v>203400</v>
      </c>
    </row>
    <row r="68" spans="1:4">
      <c r="A68" s="18" t="s">
        <v>18</v>
      </c>
      <c r="B68" s="34" t="s">
        <v>77</v>
      </c>
      <c r="C68" s="19" t="s">
        <v>5</v>
      </c>
      <c r="D68" s="33">
        <v>334300</v>
      </c>
    </row>
    <row r="69" spans="1:4">
      <c r="A69" s="18" t="s">
        <v>18</v>
      </c>
      <c r="B69" s="34" t="s">
        <v>77</v>
      </c>
      <c r="C69" s="19" t="s">
        <v>10</v>
      </c>
      <c r="D69" s="33">
        <v>4508800</v>
      </c>
    </row>
    <row r="70" spans="1:4">
      <c r="A70" s="18" t="s">
        <v>18</v>
      </c>
      <c r="B70" s="34" t="s">
        <v>77</v>
      </c>
      <c r="C70" s="19" t="s">
        <v>8</v>
      </c>
      <c r="D70" s="33">
        <v>0</v>
      </c>
    </row>
    <row r="71" spans="1:4">
      <c r="A71" s="18" t="s">
        <v>18</v>
      </c>
      <c r="B71" s="34" t="s">
        <v>77</v>
      </c>
      <c r="C71" s="19" t="s">
        <v>9</v>
      </c>
      <c r="D71" s="33">
        <v>0</v>
      </c>
    </row>
    <row r="72" spans="1:4">
      <c r="A72" s="18" t="s">
        <v>18</v>
      </c>
      <c r="B72" s="34" t="s">
        <v>77</v>
      </c>
      <c r="C72" s="19" t="s">
        <v>7</v>
      </c>
      <c r="D72" s="33">
        <v>100</v>
      </c>
    </row>
    <row r="73" spans="1:4">
      <c r="A73" s="18" t="s">
        <v>18</v>
      </c>
      <c r="B73" s="34" t="s">
        <v>77</v>
      </c>
      <c r="C73" s="19" t="s">
        <v>12</v>
      </c>
      <c r="D73" s="33">
        <v>46500</v>
      </c>
    </row>
    <row r="74" spans="1:4">
      <c r="A74" s="18" t="s">
        <v>19</v>
      </c>
      <c r="B74" s="34" t="s">
        <v>76</v>
      </c>
      <c r="C74" s="19" t="s">
        <v>1</v>
      </c>
      <c r="D74" s="33">
        <v>31600</v>
      </c>
    </row>
    <row r="75" spans="1:4">
      <c r="A75" s="18" t="s">
        <v>19</v>
      </c>
      <c r="B75" s="34" t="s">
        <v>76</v>
      </c>
      <c r="C75" s="19" t="s">
        <v>3</v>
      </c>
      <c r="D75" s="33">
        <v>75300</v>
      </c>
    </row>
    <row r="76" spans="1:4">
      <c r="A76" s="18" t="s">
        <v>19</v>
      </c>
      <c r="B76" s="34" t="s">
        <v>76</v>
      </c>
      <c r="C76" s="19" t="s">
        <v>2</v>
      </c>
      <c r="D76" s="33">
        <v>18400</v>
      </c>
    </row>
    <row r="77" spans="1:4">
      <c r="A77" s="18" t="s">
        <v>19</v>
      </c>
      <c r="B77" s="34" t="s">
        <v>77</v>
      </c>
      <c r="C77" s="19" t="s">
        <v>4</v>
      </c>
      <c r="D77" s="33">
        <v>10900</v>
      </c>
    </row>
    <row r="78" spans="1:4">
      <c r="A78" s="18" t="s">
        <v>19</v>
      </c>
      <c r="B78" s="34" t="s">
        <v>77</v>
      </c>
      <c r="C78" s="19" t="s">
        <v>6</v>
      </c>
      <c r="D78" s="33">
        <v>100</v>
      </c>
    </row>
    <row r="79" spans="1:4">
      <c r="A79" s="18" t="s">
        <v>19</v>
      </c>
      <c r="B79" s="34" t="s">
        <v>77</v>
      </c>
      <c r="C79" s="19" t="s">
        <v>11</v>
      </c>
      <c r="D79" s="33">
        <v>42300</v>
      </c>
    </row>
    <row r="80" spans="1:4">
      <c r="A80" s="18" t="s">
        <v>19</v>
      </c>
      <c r="B80" s="34" t="s">
        <v>77</v>
      </c>
      <c r="C80" s="19" t="s">
        <v>5</v>
      </c>
      <c r="D80" s="33">
        <v>133600</v>
      </c>
    </row>
    <row r="81" spans="1:4">
      <c r="A81" s="18" t="s">
        <v>19</v>
      </c>
      <c r="B81" s="34" t="s">
        <v>77</v>
      </c>
      <c r="C81" s="19" t="s">
        <v>10</v>
      </c>
      <c r="D81" s="33">
        <v>2612600</v>
      </c>
    </row>
    <row r="82" spans="1:4">
      <c r="A82" s="18" t="s">
        <v>19</v>
      </c>
      <c r="B82" s="34" t="s">
        <v>77</v>
      </c>
      <c r="C82" s="19" t="s">
        <v>8</v>
      </c>
      <c r="D82" s="33">
        <v>0</v>
      </c>
    </row>
    <row r="83" spans="1:4">
      <c r="A83" s="18" t="s">
        <v>19</v>
      </c>
      <c r="B83" s="34" t="s">
        <v>77</v>
      </c>
      <c r="C83" s="19" t="s">
        <v>9</v>
      </c>
      <c r="D83" s="33">
        <v>0</v>
      </c>
    </row>
    <row r="84" spans="1:4">
      <c r="A84" s="18" t="s">
        <v>19</v>
      </c>
      <c r="B84" s="34" t="s">
        <v>77</v>
      </c>
      <c r="C84" s="19" t="s">
        <v>7</v>
      </c>
      <c r="D84" s="33">
        <v>0</v>
      </c>
    </row>
    <row r="85" spans="1:4">
      <c r="A85" s="18" t="s">
        <v>19</v>
      </c>
      <c r="B85" s="34" t="s">
        <v>77</v>
      </c>
      <c r="C85" s="19" t="s">
        <v>12</v>
      </c>
      <c r="D85" s="33">
        <v>20900</v>
      </c>
    </row>
    <row r="86" spans="1:4">
      <c r="A86" s="18" t="s">
        <v>20</v>
      </c>
      <c r="B86" s="34" t="s">
        <v>76</v>
      </c>
      <c r="C86" s="19" t="s">
        <v>1</v>
      </c>
      <c r="D86" s="33">
        <v>8400</v>
      </c>
    </row>
    <row r="87" spans="1:4">
      <c r="A87" s="18" t="s">
        <v>20</v>
      </c>
      <c r="B87" s="34" t="s">
        <v>76</v>
      </c>
      <c r="C87" s="19" t="s">
        <v>3</v>
      </c>
      <c r="D87" s="33">
        <v>22900</v>
      </c>
    </row>
    <row r="88" spans="1:4">
      <c r="A88" s="18" t="s">
        <v>20</v>
      </c>
      <c r="B88" s="34" t="s">
        <v>76</v>
      </c>
      <c r="C88" s="19" t="s">
        <v>2</v>
      </c>
      <c r="D88" s="33">
        <v>3800</v>
      </c>
    </row>
    <row r="89" spans="1:4">
      <c r="A89" s="18" t="s">
        <v>20</v>
      </c>
      <c r="B89" s="34" t="s">
        <v>77</v>
      </c>
      <c r="C89" s="19" t="s">
        <v>4</v>
      </c>
      <c r="D89" s="33">
        <v>5100</v>
      </c>
    </row>
    <row r="90" spans="1:4">
      <c r="A90" s="18" t="s">
        <v>20</v>
      </c>
      <c r="B90" s="34" t="s">
        <v>77</v>
      </c>
      <c r="C90" s="19" t="s">
        <v>6</v>
      </c>
      <c r="D90" s="33">
        <v>0</v>
      </c>
    </row>
    <row r="91" spans="1:4">
      <c r="A91" s="18" t="s">
        <v>20</v>
      </c>
      <c r="B91" s="34" t="s">
        <v>77</v>
      </c>
      <c r="C91" s="19" t="s">
        <v>11</v>
      </c>
      <c r="D91" s="33">
        <v>14200</v>
      </c>
    </row>
    <row r="92" spans="1:4">
      <c r="A92" s="18" t="s">
        <v>20</v>
      </c>
      <c r="B92" s="34" t="s">
        <v>77</v>
      </c>
      <c r="C92" s="19" t="s">
        <v>5</v>
      </c>
      <c r="D92" s="33">
        <v>63900</v>
      </c>
    </row>
    <row r="93" spans="1:4">
      <c r="A93" s="18" t="s">
        <v>20</v>
      </c>
      <c r="B93" s="34" t="s">
        <v>77</v>
      </c>
      <c r="C93" s="19" t="s">
        <v>10</v>
      </c>
      <c r="D93" s="33">
        <v>791300</v>
      </c>
    </row>
    <row r="94" spans="1:4">
      <c r="A94" s="18" t="s">
        <v>20</v>
      </c>
      <c r="B94" s="34" t="s">
        <v>77</v>
      </c>
      <c r="C94" s="19" t="s">
        <v>8</v>
      </c>
      <c r="D94" s="33">
        <v>0</v>
      </c>
    </row>
    <row r="95" spans="1:4">
      <c r="A95" s="18" t="s">
        <v>20</v>
      </c>
      <c r="B95" s="34" t="s">
        <v>77</v>
      </c>
      <c r="C95" s="19" t="s">
        <v>9</v>
      </c>
      <c r="D95" s="33">
        <v>0</v>
      </c>
    </row>
    <row r="96" spans="1:4">
      <c r="A96" s="18" t="s">
        <v>20</v>
      </c>
      <c r="B96" s="34" t="s">
        <v>77</v>
      </c>
      <c r="C96" s="19" t="s">
        <v>7</v>
      </c>
      <c r="D96" s="33">
        <v>0</v>
      </c>
    </row>
    <row r="97" spans="1:4">
      <c r="A97" s="18" t="s">
        <v>20</v>
      </c>
      <c r="B97" s="34" t="s">
        <v>77</v>
      </c>
      <c r="C97" s="19" t="s">
        <v>12</v>
      </c>
      <c r="D97" s="33">
        <v>5100</v>
      </c>
    </row>
    <row r="98" spans="1:4">
      <c r="A98" s="18" t="s">
        <v>21</v>
      </c>
      <c r="B98" s="34" t="s">
        <v>76</v>
      </c>
      <c r="C98" s="19" t="s">
        <v>1</v>
      </c>
      <c r="D98" s="33">
        <v>8100</v>
      </c>
    </row>
    <row r="99" spans="1:4">
      <c r="A99" s="18" t="s">
        <v>21</v>
      </c>
      <c r="B99" s="34" t="s">
        <v>76</v>
      </c>
      <c r="C99" s="19" t="s">
        <v>3</v>
      </c>
      <c r="D99" s="33">
        <v>18100</v>
      </c>
    </row>
    <row r="100" spans="1:4">
      <c r="A100" s="18" t="s">
        <v>21</v>
      </c>
      <c r="B100" s="34" t="s">
        <v>76</v>
      </c>
      <c r="C100" s="19" t="s">
        <v>2</v>
      </c>
      <c r="D100" s="33">
        <v>3700</v>
      </c>
    </row>
    <row r="101" spans="1:4">
      <c r="A101" s="18" t="s">
        <v>21</v>
      </c>
      <c r="B101" s="34" t="s">
        <v>77</v>
      </c>
      <c r="C101" s="19" t="s">
        <v>4</v>
      </c>
      <c r="D101" s="33">
        <v>400</v>
      </c>
    </row>
    <row r="102" spans="1:4">
      <c r="A102" s="18" t="s">
        <v>21</v>
      </c>
      <c r="B102" s="34" t="s">
        <v>77</v>
      </c>
      <c r="C102" s="19" t="s">
        <v>6</v>
      </c>
      <c r="D102" s="33">
        <v>100</v>
      </c>
    </row>
    <row r="103" spans="1:4">
      <c r="A103" s="18" t="s">
        <v>21</v>
      </c>
      <c r="B103" s="34" t="s">
        <v>77</v>
      </c>
      <c r="C103" s="19" t="s">
        <v>11</v>
      </c>
      <c r="D103" s="33">
        <v>1800</v>
      </c>
    </row>
    <row r="104" spans="1:4">
      <c r="A104" s="18" t="s">
        <v>21</v>
      </c>
      <c r="B104" s="34" t="s">
        <v>77</v>
      </c>
      <c r="C104" s="19" t="s">
        <v>5</v>
      </c>
      <c r="D104" s="33">
        <v>16800</v>
      </c>
    </row>
    <row r="105" spans="1:4">
      <c r="A105" s="18" t="s">
        <v>21</v>
      </c>
      <c r="B105" s="34" t="s">
        <v>77</v>
      </c>
      <c r="C105" s="19" t="s">
        <v>10</v>
      </c>
      <c r="D105" s="33">
        <v>262500</v>
      </c>
    </row>
    <row r="106" spans="1:4">
      <c r="A106" s="18" t="s">
        <v>21</v>
      </c>
      <c r="B106" s="34" t="s">
        <v>77</v>
      </c>
      <c r="C106" s="19" t="s">
        <v>8</v>
      </c>
      <c r="D106" s="33">
        <v>0</v>
      </c>
    </row>
    <row r="107" spans="1:4">
      <c r="A107" s="18" t="s">
        <v>21</v>
      </c>
      <c r="B107" s="34" t="s">
        <v>77</v>
      </c>
      <c r="C107" s="19" t="s">
        <v>9</v>
      </c>
      <c r="D107" s="33">
        <v>0</v>
      </c>
    </row>
    <row r="108" spans="1:4">
      <c r="A108" s="18" t="s">
        <v>21</v>
      </c>
      <c r="B108" s="34" t="s">
        <v>77</v>
      </c>
      <c r="C108" s="19" t="s">
        <v>7</v>
      </c>
      <c r="D108" s="33">
        <v>0</v>
      </c>
    </row>
    <row r="109" spans="1:4">
      <c r="A109" s="18" t="s">
        <v>21</v>
      </c>
      <c r="B109" s="34" t="s">
        <v>77</v>
      </c>
      <c r="C109" s="19" t="s">
        <v>12</v>
      </c>
      <c r="D109" s="33">
        <v>600</v>
      </c>
    </row>
    <row r="110" spans="1:4">
      <c r="A110" s="18" t="s">
        <v>22</v>
      </c>
      <c r="B110" s="34" t="s">
        <v>76</v>
      </c>
      <c r="C110" s="19" t="s">
        <v>1</v>
      </c>
      <c r="D110" s="33">
        <v>254900</v>
      </c>
    </row>
    <row r="111" spans="1:4">
      <c r="A111" s="18" t="s">
        <v>22</v>
      </c>
      <c r="B111" s="34" t="s">
        <v>76</v>
      </c>
      <c r="C111" s="19" t="s">
        <v>3</v>
      </c>
      <c r="D111" s="33">
        <v>414500</v>
      </c>
    </row>
    <row r="112" spans="1:4">
      <c r="A112" s="18" t="s">
        <v>22</v>
      </c>
      <c r="B112" s="34" t="s">
        <v>76</v>
      </c>
      <c r="C112" s="19" t="s">
        <v>2</v>
      </c>
      <c r="D112" s="33">
        <v>57300</v>
      </c>
    </row>
    <row r="113" spans="1:4">
      <c r="A113" s="18" t="s">
        <v>22</v>
      </c>
      <c r="B113" s="34" t="s">
        <v>77</v>
      </c>
      <c r="C113" s="19" t="s">
        <v>4</v>
      </c>
      <c r="D113" s="33">
        <v>170500</v>
      </c>
    </row>
    <row r="114" spans="1:4">
      <c r="A114" s="18" t="s">
        <v>22</v>
      </c>
      <c r="B114" s="34" t="s">
        <v>77</v>
      </c>
      <c r="C114" s="19" t="s">
        <v>6</v>
      </c>
      <c r="D114" s="33">
        <v>400</v>
      </c>
    </row>
    <row r="115" spans="1:4">
      <c r="A115" s="18" t="s">
        <v>22</v>
      </c>
      <c r="B115" s="34" t="s">
        <v>77</v>
      </c>
      <c r="C115" s="19" t="s">
        <v>11</v>
      </c>
      <c r="D115" s="33">
        <v>351800</v>
      </c>
    </row>
    <row r="116" spans="1:4">
      <c r="A116" s="18" t="s">
        <v>22</v>
      </c>
      <c r="B116" s="34" t="s">
        <v>77</v>
      </c>
      <c r="C116" s="19" t="s">
        <v>5</v>
      </c>
      <c r="D116" s="33">
        <v>1101100</v>
      </c>
    </row>
    <row r="117" spans="1:4">
      <c r="A117" s="18" t="s">
        <v>22</v>
      </c>
      <c r="B117" s="34" t="s">
        <v>77</v>
      </c>
      <c r="C117" s="19" t="s">
        <v>10</v>
      </c>
      <c r="D117" s="33">
        <v>16136500</v>
      </c>
    </row>
    <row r="118" spans="1:4">
      <c r="A118" s="18" t="s">
        <v>22</v>
      </c>
      <c r="B118" s="34" t="s">
        <v>77</v>
      </c>
      <c r="C118" s="19" t="s">
        <v>8</v>
      </c>
      <c r="D118" s="33">
        <v>0</v>
      </c>
    </row>
    <row r="119" spans="1:4">
      <c r="A119" s="18" t="s">
        <v>22</v>
      </c>
      <c r="B119" s="34" t="s">
        <v>77</v>
      </c>
      <c r="C119" s="19" t="s">
        <v>9</v>
      </c>
      <c r="D119" s="33">
        <v>0</v>
      </c>
    </row>
    <row r="120" spans="1:4">
      <c r="A120" s="18" t="s">
        <v>22</v>
      </c>
      <c r="B120" s="34" t="s">
        <v>77</v>
      </c>
      <c r="C120" s="19" t="s">
        <v>7</v>
      </c>
      <c r="D120" s="33">
        <v>100</v>
      </c>
    </row>
    <row r="121" spans="1:4">
      <c r="A121" s="18" t="s">
        <v>22</v>
      </c>
      <c r="B121" s="34" t="s">
        <v>77</v>
      </c>
      <c r="C121" s="19" t="s">
        <v>12</v>
      </c>
      <c r="D121" s="33">
        <v>96100</v>
      </c>
    </row>
    <row r="122" spans="1:4">
      <c r="A122" s="18" t="s">
        <v>23</v>
      </c>
      <c r="B122" s="34" t="s">
        <v>76</v>
      </c>
      <c r="C122" s="19" t="s">
        <v>1</v>
      </c>
      <c r="D122" s="33">
        <v>92400</v>
      </c>
    </row>
    <row r="123" spans="1:4">
      <c r="A123" s="18" t="s">
        <v>23</v>
      </c>
      <c r="B123" s="34" t="s">
        <v>76</v>
      </c>
      <c r="C123" s="19" t="s">
        <v>3</v>
      </c>
      <c r="D123" s="33">
        <v>175300</v>
      </c>
    </row>
    <row r="124" spans="1:4">
      <c r="A124" s="18" t="s">
        <v>23</v>
      </c>
      <c r="B124" s="34" t="s">
        <v>76</v>
      </c>
      <c r="C124" s="19" t="s">
        <v>2</v>
      </c>
      <c r="D124" s="33">
        <v>22700</v>
      </c>
    </row>
    <row r="125" spans="1:4">
      <c r="A125" s="18" t="s">
        <v>23</v>
      </c>
      <c r="B125" s="34" t="s">
        <v>77</v>
      </c>
      <c r="C125" s="19" t="s">
        <v>4</v>
      </c>
      <c r="D125" s="33">
        <v>92500</v>
      </c>
    </row>
    <row r="126" spans="1:4">
      <c r="A126" s="18" t="s">
        <v>23</v>
      </c>
      <c r="B126" s="34" t="s">
        <v>77</v>
      </c>
      <c r="C126" s="19" t="s">
        <v>6</v>
      </c>
      <c r="D126" s="33">
        <v>300</v>
      </c>
    </row>
    <row r="127" spans="1:4">
      <c r="A127" s="18" t="s">
        <v>23</v>
      </c>
      <c r="B127" s="34" t="s">
        <v>77</v>
      </c>
      <c r="C127" s="19" t="s">
        <v>11</v>
      </c>
      <c r="D127" s="33">
        <v>206300</v>
      </c>
    </row>
    <row r="128" spans="1:4">
      <c r="A128" s="18" t="s">
        <v>23</v>
      </c>
      <c r="B128" s="34" t="s">
        <v>77</v>
      </c>
      <c r="C128" s="19" t="s">
        <v>5</v>
      </c>
      <c r="D128" s="33">
        <v>719400</v>
      </c>
    </row>
    <row r="129" spans="1:4">
      <c r="A129" s="18" t="s">
        <v>23</v>
      </c>
      <c r="B129" s="34" t="s">
        <v>77</v>
      </c>
      <c r="C129" s="19" t="s">
        <v>10</v>
      </c>
      <c r="D129" s="33">
        <v>8256400</v>
      </c>
    </row>
    <row r="130" spans="1:4">
      <c r="A130" s="18" t="s">
        <v>23</v>
      </c>
      <c r="B130" s="34" t="s">
        <v>77</v>
      </c>
      <c r="C130" s="19" t="s">
        <v>8</v>
      </c>
      <c r="D130" s="33">
        <v>0</v>
      </c>
    </row>
    <row r="131" spans="1:4">
      <c r="A131" s="18" t="s">
        <v>23</v>
      </c>
      <c r="B131" s="34" t="s">
        <v>77</v>
      </c>
      <c r="C131" s="19" t="s">
        <v>9</v>
      </c>
      <c r="D131" s="33">
        <v>0</v>
      </c>
    </row>
    <row r="132" spans="1:4">
      <c r="A132" s="18" t="s">
        <v>23</v>
      </c>
      <c r="B132" s="34" t="s">
        <v>77</v>
      </c>
      <c r="C132" s="19" t="s">
        <v>7</v>
      </c>
      <c r="D132" s="33">
        <v>200</v>
      </c>
    </row>
    <row r="133" spans="1:4">
      <c r="A133" s="18" t="s">
        <v>23</v>
      </c>
      <c r="B133" s="34" t="s">
        <v>77</v>
      </c>
      <c r="C133" s="19" t="s">
        <v>12</v>
      </c>
      <c r="D133" s="33">
        <v>76900</v>
      </c>
    </row>
    <row r="134" spans="1:4">
      <c r="A134" s="18" t="s">
        <v>24</v>
      </c>
      <c r="B134" s="34" t="s">
        <v>76</v>
      </c>
      <c r="C134" s="19" t="s">
        <v>1</v>
      </c>
      <c r="D134" s="33">
        <v>25600</v>
      </c>
    </row>
    <row r="135" spans="1:4">
      <c r="A135" s="18" t="s">
        <v>24</v>
      </c>
      <c r="B135" s="34" t="s">
        <v>76</v>
      </c>
      <c r="C135" s="19" t="s">
        <v>3</v>
      </c>
      <c r="D135" s="33">
        <v>36400</v>
      </c>
    </row>
    <row r="136" spans="1:4">
      <c r="A136" s="18" t="s">
        <v>24</v>
      </c>
      <c r="B136" s="34" t="s">
        <v>76</v>
      </c>
      <c r="C136" s="19" t="s">
        <v>2</v>
      </c>
      <c r="D136" s="33">
        <v>7300</v>
      </c>
    </row>
    <row r="137" spans="1:4">
      <c r="A137" s="18" t="s">
        <v>24</v>
      </c>
      <c r="B137" s="34" t="s">
        <v>77</v>
      </c>
      <c r="C137" s="19" t="s">
        <v>4</v>
      </c>
      <c r="D137" s="33">
        <v>3400</v>
      </c>
    </row>
    <row r="138" spans="1:4">
      <c r="A138" s="18" t="s">
        <v>24</v>
      </c>
      <c r="B138" s="34" t="s">
        <v>77</v>
      </c>
      <c r="C138" s="19" t="s">
        <v>6</v>
      </c>
      <c r="D138" s="33">
        <v>0</v>
      </c>
    </row>
    <row r="139" spans="1:4">
      <c r="A139" s="18" t="s">
        <v>24</v>
      </c>
      <c r="B139" s="34" t="s">
        <v>77</v>
      </c>
      <c r="C139" s="19" t="s">
        <v>11</v>
      </c>
      <c r="D139" s="33">
        <v>15400</v>
      </c>
    </row>
    <row r="140" spans="1:4">
      <c r="A140" s="18" t="s">
        <v>24</v>
      </c>
      <c r="B140" s="34" t="s">
        <v>77</v>
      </c>
      <c r="C140" s="19" t="s">
        <v>5</v>
      </c>
      <c r="D140" s="33">
        <v>37300</v>
      </c>
    </row>
    <row r="141" spans="1:4">
      <c r="A141" s="18" t="s">
        <v>24</v>
      </c>
      <c r="B141" s="34" t="s">
        <v>77</v>
      </c>
      <c r="C141" s="19" t="s">
        <v>10</v>
      </c>
      <c r="D141" s="33">
        <v>951000</v>
      </c>
    </row>
    <row r="142" spans="1:4">
      <c r="A142" s="18" t="s">
        <v>24</v>
      </c>
      <c r="B142" s="34" t="s">
        <v>77</v>
      </c>
      <c r="C142" s="19" t="s">
        <v>8</v>
      </c>
      <c r="D142" s="33">
        <v>0</v>
      </c>
    </row>
    <row r="143" spans="1:4">
      <c r="A143" s="18" t="s">
        <v>24</v>
      </c>
      <c r="B143" s="34" t="s">
        <v>77</v>
      </c>
      <c r="C143" s="19" t="s">
        <v>9</v>
      </c>
      <c r="D143" s="33">
        <v>0</v>
      </c>
    </row>
    <row r="144" spans="1:4">
      <c r="A144" s="18" t="s">
        <v>24</v>
      </c>
      <c r="B144" s="34" t="s">
        <v>77</v>
      </c>
      <c r="C144" s="19" t="s">
        <v>7</v>
      </c>
      <c r="D144" s="33">
        <v>0</v>
      </c>
    </row>
    <row r="145" spans="1:4">
      <c r="A145" s="18" t="s">
        <v>24</v>
      </c>
      <c r="B145" s="34" t="s">
        <v>77</v>
      </c>
      <c r="C145" s="19" t="s">
        <v>12</v>
      </c>
      <c r="D145" s="33">
        <v>3700</v>
      </c>
    </row>
    <row r="146" spans="1:4">
      <c r="A146" s="18" t="s">
        <v>25</v>
      </c>
      <c r="B146" s="34" t="s">
        <v>76</v>
      </c>
      <c r="C146" s="19" t="s">
        <v>1</v>
      </c>
      <c r="D146" s="33">
        <v>8500</v>
      </c>
    </row>
    <row r="147" spans="1:4">
      <c r="A147" s="18" t="s">
        <v>25</v>
      </c>
      <c r="B147" s="34" t="s">
        <v>76</v>
      </c>
      <c r="C147" s="19" t="s">
        <v>3</v>
      </c>
      <c r="D147" s="33">
        <v>43700</v>
      </c>
    </row>
    <row r="148" spans="1:4">
      <c r="A148" s="18" t="s">
        <v>25</v>
      </c>
      <c r="B148" s="34" t="s">
        <v>76</v>
      </c>
      <c r="C148" s="19" t="s">
        <v>2</v>
      </c>
      <c r="D148" s="33">
        <v>4600</v>
      </c>
    </row>
    <row r="149" spans="1:4">
      <c r="A149" s="18" t="s">
        <v>25</v>
      </c>
      <c r="B149" s="34" t="s">
        <v>77</v>
      </c>
      <c r="C149" s="19" t="s">
        <v>4</v>
      </c>
      <c r="D149" s="33">
        <v>45900</v>
      </c>
    </row>
    <row r="150" spans="1:4">
      <c r="A150" s="18" t="s">
        <v>25</v>
      </c>
      <c r="B150" s="34" t="s">
        <v>77</v>
      </c>
      <c r="C150" s="19" t="s">
        <v>6</v>
      </c>
      <c r="D150" s="33">
        <v>100</v>
      </c>
    </row>
    <row r="151" spans="1:4">
      <c r="A151" s="18" t="s">
        <v>25</v>
      </c>
      <c r="B151" s="34" t="s">
        <v>77</v>
      </c>
      <c r="C151" s="19" t="s">
        <v>11</v>
      </c>
      <c r="D151" s="33">
        <v>138600</v>
      </c>
    </row>
    <row r="152" spans="1:4">
      <c r="A152" s="18" t="s">
        <v>25</v>
      </c>
      <c r="B152" s="34" t="s">
        <v>77</v>
      </c>
      <c r="C152" s="19" t="s">
        <v>5</v>
      </c>
      <c r="D152" s="33">
        <v>132900</v>
      </c>
    </row>
    <row r="153" spans="1:4">
      <c r="A153" s="18" t="s">
        <v>25</v>
      </c>
      <c r="B153" s="34" t="s">
        <v>77</v>
      </c>
      <c r="C153" s="19" t="s">
        <v>10</v>
      </c>
      <c r="D153" s="33">
        <v>1568600</v>
      </c>
    </row>
    <row r="154" spans="1:4">
      <c r="A154" s="18" t="s">
        <v>25</v>
      </c>
      <c r="B154" s="34" t="s">
        <v>77</v>
      </c>
      <c r="C154" s="19" t="s">
        <v>8</v>
      </c>
      <c r="D154" s="33">
        <v>0</v>
      </c>
    </row>
    <row r="155" spans="1:4">
      <c r="A155" s="18" t="s">
        <v>25</v>
      </c>
      <c r="B155" s="34" t="s">
        <v>77</v>
      </c>
      <c r="C155" s="19" t="s">
        <v>9</v>
      </c>
      <c r="D155" s="33">
        <v>0</v>
      </c>
    </row>
    <row r="156" spans="1:4">
      <c r="A156" s="18" t="s">
        <v>25</v>
      </c>
      <c r="B156" s="34" t="s">
        <v>77</v>
      </c>
      <c r="C156" s="19" t="s">
        <v>7</v>
      </c>
      <c r="D156" s="33">
        <v>100</v>
      </c>
    </row>
    <row r="157" spans="1:4">
      <c r="A157" s="18" t="s">
        <v>25</v>
      </c>
      <c r="B157" s="34" t="s">
        <v>77</v>
      </c>
      <c r="C157" s="19" t="s">
        <v>12</v>
      </c>
      <c r="D157" s="33">
        <v>31600</v>
      </c>
    </row>
    <row r="158" spans="1:4">
      <c r="A158" s="18" t="s">
        <v>26</v>
      </c>
      <c r="B158" s="34" t="s">
        <v>76</v>
      </c>
      <c r="C158" s="19" t="s">
        <v>1</v>
      </c>
      <c r="D158" s="33">
        <v>99600</v>
      </c>
    </row>
    <row r="159" spans="1:4">
      <c r="A159" s="18" t="s">
        <v>26</v>
      </c>
      <c r="B159" s="34" t="s">
        <v>76</v>
      </c>
      <c r="C159" s="19" t="s">
        <v>3</v>
      </c>
      <c r="D159" s="33">
        <v>285400</v>
      </c>
    </row>
    <row r="160" spans="1:4">
      <c r="A160" s="18" t="s">
        <v>26</v>
      </c>
      <c r="B160" s="34" t="s">
        <v>76</v>
      </c>
      <c r="C160" s="19" t="s">
        <v>2</v>
      </c>
      <c r="D160" s="33">
        <v>33400</v>
      </c>
    </row>
    <row r="161" spans="1:4">
      <c r="A161" s="18" t="s">
        <v>26</v>
      </c>
      <c r="B161" s="34" t="s">
        <v>77</v>
      </c>
      <c r="C161" s="19" t="s">
        <v>4</v>
      </c>
      <c r="D161" s="33">
        <v>61500</v>
      </c>
    </row>
    <row r="162" spans="1:4">
      <c r="A162" s="18" t="s">
        <v>26</v>
      </c>
      <c r="B162" s="34" t="s">
        <v>77</v>
      </c>
      <c r="C162" s="19" t="s">
        <v>6</v>
      </c>
      <c r="D162" s="33">
        <v>300</v>
      </c>
    </row>
    <row r="163" spans="1:4">
      <c r="A163" s="18" t="s">
        <v>26</v>
      </c>
      <c r="B163" s="34" t="s">
        <v>77</v>
      </c>
      <c r="C163" s="19" t="s">
        <v>11</v>
      </c>
      <c r="D163" s="33">
        <v>170200</v>
      </c>
    </row>
    <row r="164" spans="1:4">
      <c r="A164" s="18" t="s">
        <v>26</v>
      </c>
      <c r="B164" s="34" t="s">
        <v>77</v>
      </c>
      <c r="C164" s="19" t="s">
        <v>5</v>
      </c>
      <c r="D164" s="33">
        <v>772900</v>
      </c>
    </row>
    <row r="165" spans="1:4">
      <c r="A165" s="18" t="s">
        <v>26</v>
      </c>
      <c r="B165" s="34" t="s">
        <v>77</v>
      </c>
      <c r="C165" s="19" t="s">
        <v>10</v>
      </c>
      <c r="D165" s="33">
        <v>8560300</v>
      </c>
    </row>
    <row r="166" spans="1:4">
      <c r="A166" s="18" t="s">
        <v>26</v>
      </c>
      <c r="B166" s="34" t="s">
        <v>77</v>
      </c>
      <c r="C166" s="19" t="s">
        <v>8</v>
      </c>
      <c r="D166" s="33">
        <v>0</v>
      </c>
    </row>
    <row r="167" spans="1:4">
      <c r="A167" s="18" t="s">
        <v>26</v>
      </c>
      <c r="B167" s="34" t="s">
        <v>77</v>
      </c>
      <c r="C167" s="19" t="s">
        <v>9</v>
      </c>
      <c r="D167" s="33">
        <v>0</v>
      </c>
    </row>
    <row r="168" spans="1:4">
      <c r="A168" s="18" t="s">
        <v>26</v>
      </c>
      <c r="B168" s="34" t="s">
        <v>77</v>
      </c>
      <c r="C168" s="19" t="s">
        <v>7</v>
      </c>
      <c r="D168" s="33">
        <v>0</v>
      </c>
    </row>
    <row r="169" spans="1:4">
      <c r="A169" s="18" t="s">
        <v>26</v>
      </c>
      <c r="B169" s="34" t="s">
        <v>77</v>
      </c>
      <c r="C169" s="19" t="s">
        <v>12</v>
      </c>
      <c r="D169" s="33">
        <v>59600</v>
      </c>
    </row>
    <row r="170" spans="1:4">
      <c r="A170" s="18" t="s">
        <v>27</v>
      </c>
      <c r="B170" s="34" t="s">
        <v>76</v>
      </c>
      <c r="C170" s="19" t="s">
        <v>1</v>
      </c>
      <c r="D170" s="33">
        <v>26100</v>
      </c>
    </row>
    <row r="171" spans="1:4">
      <c r="A171" s="18" t="s">
        <v>27</v>
      </c>
      <c r="B171" s="34" t="s">
        <v>76</v>
      </c>
      <c r="C171" s="19" t="s">
        <v>3</v>
      </c>
      <c r="D171" s="33">
        <v>119100</v>
      </c>
    </row>
    <row r="172" spans="1:4">
      <c r="A172" s="18" t="s">
        <v>27</v>
      </c>
      <c r="B172" s="34" t="s">
        <v>76</v>
      </c>
      <c r="C172" s="19" t="s">
        <v>2</v>
      </c>
      <c r="D172" s="33">
        <v>12900</v>
      </c>
    </row>
    <row r="173" spans="1:4">
      <c r="A173" s="18" t="s">
        <v>27</v>
      </c>
      <c r="B173" s="34" t="s">
        <v>77</v>
      </c>
      <c r="C173" s="19" t="s">
        <v>4</v>
      </c>
      <c r="D173" s="33">
        <v>56300</v>
      </c>
    </row>
    <row r="174" spans="1:4">
      <c r="A174" s="18" t="s">
        <v>27</v>
      </c>
      <c r="B174" s="34" t="s">
        <v>77</v>
      </c>
      <c r="C174" s="19" t="s">
        <v>6</v>
      </c>
      <c r="D174" s="33">
        <v>300</v>
      </c>
    </row>
    <row r="175" spans="1:4">
      <c r="A175" s="18" t="s">
        <v>27</v>
      </c>
      <c r="B175" s="34" t="s">
        <v>77</v>
      </c>
      <c r="C175" s="19" t="s">
        <v>11</v>
      </c>
      <c r="D175" s="33">
        <v>156400</v>
      </c>
    </row>
    <row r="176" spans="1:4">
      <c r="A176" s="18" t="s">
        <v>27</v>
      </c>
      <c r="B176" s="34" t="s">
        <v>77</v>
      </c>
      <c r="C176" s="19" t="s">
        <v>5</v>
      </c>
      <c r="D176" s="33">
        <v>576300</v>
      </c>
    </row>
    <row r="177" spans="1:4">
      <c r="A177" s="18" t="s">
        <v>27</v>
      </c>
      <c r="B177" s="34" t="s">
        <v>77</v>
      </c>
      <c r="C177" s="19" t="s">
        <v>10</v>
      </c>
      <c r="D177" s="33">
        <v>5166200</v>
      </c>
    </row>
    <row r="178" spans="1:4">
      <c r="A178" s="18" t="s">
        <v>27</v>
      </c>
      <c r="B178" s="34" t="s">
        <v>77</v>
      </c>
      <c r="C178" s="19" t="s">
        <v>8</v>
      </c>
      <c r="D178" s="33">
        <v>0</v>
      </c>
    </row>
    <row r="179" spans="1:4">
      <c r="A179" s="18" t="s">
        <v>27</v>
      </c>
      <c r="B179" s="34" t="s">
        <v>77</v>
      </c>
      <c r="C179" s="19" t="s">
        <v>9</v>
      </c>
      <c r="D179" s="33">
        <v>0</v>
      </c>
    </row>
    <row r="180" spans="1:4">
      <c r="A180" s="18" t="s">
        <v>27</v>
      </c>
      <c r="B180" s="34" t="s">
        <v>77</v>
      </c>
      <c r="C180" s="19" t="s">
        <v>7</v>
      </c>
      <c r="D180" s="33">
        <v>0</v>
      </c>
    </row>
    <row r="181" spans="1:4">
      <c r="A181" s="18" t="s">
        <v>27</v>
      </c>
      <c r="B181" s="34" t="s">
        <v>77</v>
      </c>
      <c r="C181" s="19" t="s">
        <v>12</v>
      </c>
      <c r="D181" s="33">
        <v>58500</v>
      </c>
    </row>
    <row r="182" spans="1:4">
      <c r="A182" s="18" t="s">
        <v>28</v>
      </c>
      <c r="B182" s="34" t="s">
        <v>76</v>
      </c>
      <c r="C182" s="19" t="s">
        <v>1</v>
      </c>
      <c r="D182" s="33">
        <v>9000</v>
      </c>
    </row>
    <row r="183" spans="1:4">
      <c r="A183" s="18" t="s">
        <v>28</v>
      </c>
      <c r="B183" s="34" t="s">
        <v>76</v>
      </c>
      <c r="C183" s="19" t="s">
        <v>3</v>
      </c>
      <c r="D183" s="33">
        <v>57200</v>
      </c>
    </row>
    <row r="184" spans="1:4">
      <c r="A184" s="18" t="s">
        <v>28</v>
      </c>
      <c r="B184" s="34" t="s">
        <v>76</v>
      </c>
      <c r="C184" s="19" t="s">
        <v>2</v>
      </c>
      <c r="D184" s="33">
        <v>6100</v>
      </c>
    </row>
    <row r="185" spans="1:4">
      <c r="A185" s="18" t="s">
        <v>28</v>
      </c>
      <c r="B185" s="34" t="s">
        <v>77</v>
      </c>
      <c r="C185" s="19" t="s">
        <v>4</v>
      </c>
      <c r="D185" s="33">
        <v>41700</v>
      </c>
    </row>
    <row r="186" spans="1:4">
      <c r="A186" s="18" t="s">
        <v>28</v>
      </c>
      <c r="B186" s="34" t="s">
        <v>77</v>
      </c>
      <c r="C186" s="19" t="s">
        <v>6</v>
      </c>
      <c r="D186" s="33">
        <v>100</v>
      </c>
    </row>
    <row r="187" spans="1:4">
      <c r="A187" s="18" t="s">
        <v>28</v>
      </c>
      <c r="B187" s="34" t="s">
        <v>77</v>
      </c>
      <c r="C187" s="19" t="s">
        <v>11</v>
      </c>
      <c r="D187" s="33">
        <v>105000</v>
      </c>
    </row>
    <row r="188" spans="1:4">
      <c r="A188" s="18" t="s">
        <v>28</v>
      </c>
      <c r="B188" s="34" t="s">
        <v>77</v>
      </c>
      <c r="C188" s="19" t="s">
        <v>5</v>
      </c>
      <c r="D188" s="33">
        <v>331300</v>
      </c>
    </row>
    <row r="189" spans="1:4">
      <c r="A189" s="18" t="s">
        <v>28</v>
      </c>
      <c r="B189" s="34" t="s">
        <v>77</v>
      </c>
      <c r="C189" s="19" t="s">
        <v>10</v>
      </c>
      <c r="D189" s="33">
        <v>2545400</v>
      </c>
    </row>
    <row r="190" spans="1:4">
      <c r="A190" s="18" t="s">
        <v>28</v>
      </c>
      <c r="B190" s="34" t="s">
        <v>77</v>
      </c>
      <c r="C190" s="19" t="s">
        <v>8</v>
      </c>
      <c r="D190" s="33">
        <v>0</v>
      </c>
    </row>
    <row r="191" spans="1:4">
      <c r="A191" s="18" t="s">
        <v>28</v>
      </c>
      <c r="B191" s="34" t="s">
        <v>77</v>
      </c>
      <c r="C191" s="19" t="s">
        <v>9</v>
      </c>
      <c r="D191" s="33">
        <v>0</v>
      </c>
    </row>
    <row r="192" spans="1:4">
      <c r="A192" s="18" t="s">
        <v>28</v>
      </c>
      <c r="B192" s="34" t="s">
        <v>77</v>
      </c>
      <c r="C192" s="19" t="s">
        <v>7</v>
      </c>
      <c r="D192" s="33">
        <v>0</v>
      </c>
    </row>
    <row r="193" spans="1:4">
      <c r="A193" s="18" t="s">
        <v>28</v>
      </c>
      <c r="B193" s="34" t="s">
        <v>77</v>
      </c>
      <c r="C193" s="19" t="s">
        <v>12</v>
      </c>
      <c r="D193" s="33">
        <v>57500</v>
      </c>
    </row>
    <row r="194" spans="1:4">
      <c r="A194" s="18" t="s">
        <v>29</v>
      </c>
      <c r="B194" s="34" t="s">
        <v>76</v>
      </c>
      <c r="C194" s="19" t="s">
        <v>1</v>
      </c>
      <c r="D194" s="33">
        <v>11300</v>
      </c>
    </row>
    <row r="195" spans="1:4">
      <c r="A195" s="18" t="s">
        <v>29</v>
      </c>
      <c r="B195" s="34" t="s">
        <v>76</v>
      </c>
      <c r="C195" s="19" t="s">
        <v>3</v>
      </c>
      <c r="D195" s="33">
        <v>50400</v>
      </c>
    </row>
    <row r="196" spans="1:4">
      <c r="A196" s="18" t="s">
        <v>29</v>
      </c>
      <c r="B196" s="34" t="s">
        <v>76</v>
      </c>
      <c r="C196" s="19" t="s">
        <v>2</v>
      </c>
      <c r="D196" s="33">
        <v>5600</v>
      </c>
    </row>
    <row r="197" spans="1:4">
      <c r="A197" s="18" t="s">
        <v>29</v>
      </c>
      <c r="B197" s="34" t="s">
        <v>77</v>
      </c>
      <c r="C197" s="19" t="s">
        <v>4</v>
      </c>
      <c r="D197" s="33">
        <v>27900</v>
      </c>
    </row>
    <row r="198" spans="1:4">
      <c r="A198" s="18" t="s">
        <v>29</v>
      </c>
      <c r="B198" s="34" t="s">
        <v>77</v>
      </c>
      <c r="C198" s="19" t="s">
        <v>6</v>
      </c>
      <c r="D198" s="33">
        <v>200</v>
      </c>
    </row>
    <row r="199" spans="1:4">
      <c r="A199" s="18" t="s">
        <v>29</v>
      </c>
      <c r="B199" s="34" t="s">
        <v>77</v>
      </c>
      <c r="C199" s="19" t="s">
        <v>11</v>
      </c>
      <c r="D199" s="33">
        <v>87400</v>
      </c>
    </row>
    <row r="200" spans="1:4">
      <c r="A200" s="18" t="s">
        <v>29</v>
      </c>
      <c r="B200" s="34" t="s">
        <v>77</v>
      </c>
      <c r="C200" s="19" t="s">
        <v>5</v>
      </c>
      <c r="D200" s="33">
        <v>253500</v>
      </c>
    </row>
    <row r="201" spans="1:4">
      <c r="A201" s="18" t="s">
        <v>29</v>
      </c>
      <c r="B201" s="34" t="s">
        <v>77</v>
      </c>
      <c r="C201" s="19" t="s">
        <v>10</v>
      </c>
      <c r="D201" s="33">
        <v>2168600</v>
      </c>
    </row>
    <row r="202" spans="1:4">
      <c r="A202" s="18" t="s">
        <v>29</v>
      </c>
      <c r="B202" s="34" t="s">
        <v>77</v>
      </c>
      <c r="C202" s="19" t="s">
        <v>8</v>
      </c>
      <c r="D202" s="33">
        <v>0</v>
      </c>
    </row>
    <row r="203" spans="1:4">
      <c r="A203" s="18" t="s">
        <v>29</v>
      </c>
      <c r="B203" s="34" t="s">
        <v>77</v>
      </c>
      <c r="C203" s="19" t="s">
        <v>9</v>
      </c>
      <c r="D203" s="33">
        <v>0</v>
      </c>
    </row>
    <row r="204" spans="1:4">
      <c r="A204" s="18" t="s">
        <v>29</v>
      </c>
      <c r="B204" s="34" t="s">
        <v>77</v>
      </c>
      <c r="C204" s="19" t="s">
        <v>7</v>
      </c>
      <c r="D204" s="33">
        <v>100</v>
      </c>
    </row>
    <row r="205" spans="1:4">
      <c r="A205" s="18" t="s">
        <v>29</v>
      </c>
      <c r="B205" s="34" t="s">
        <v>77</v>
      </c>
      <c r="C205" s="19" t="s">
        <v>12</v>
      </c>
      <c r="D205" s="33">
        <v>16100</v>
      </c>
    </row>
    <row r="206" spans="1:4">
      <c r="A206" s="18" t="s">
        <v>30</v>
      </c>
      <c r="B206" s="34" t="s">
        <v>76</v>
      </c>
      <c r="C206" s="19" t="s">
        <v>1</v>
      </c>
      <c r="D206" s="33">
        <v>11600</v>
      </c>
    </row>
    <row r="207" spans="1:4">
      <c r="A207" s="18" t="s">
        <v>30</v>
      </c>
      <c r="B207" s="34" t="s">
        <v>76</v>
      </c>
      <c r="C207" s="19" t="s">
        <v>3</v>
      </c>
      <c r="D207" s="33">
        <v>67100</v>
      </c>
    </row>
    <row r="208" spans="1:4">
      <c r="A208" s="18" t="s">
        <v>30</v>
      </c>
      <c r="B208" s="34" t="s">
        <v>76</v>
      </c>
      <c r="C208" s="19" t="s">
        <v>2</v>
      </c>
      <c r="D208" s="33">
        <v>5600</v>
      </c>
    </row>
    <row r="209" spans="1:4">
      <c r="A209" s="18" t="s">
        <v>30</v>
      </c>
      <c r="B209" s="34" t="s">
        <v>77</v>
      </c>
      <c r="C209" s="19" t="s">
        <v>4</v>
      </c>
      <c r="D209" s="33">
        <v>36900</v>
      </c>
    </row>
    <row r="210" spans="1:4">
      <c r="A210" s="18" t="s">
        <v>30</v>
      </c>
      <c r="B210" s="34" t="s">
        <v>77</v>
      </c>
      <c r="C210" s="19" t="s">
        <v>6</v>
      </c>
      <c r="D210" s="33">
        <v>300</v>
      </c>
    </row>
    <row r="211" spans="1:4">
      <c r="A211" s="18" t="s">
        <v>30</v>
      </c>
      <c r="B211" s="34" t="s">
        <v>77</v>
      </c>
      <c r="C211" s="19" t="s">
        <v>11</v>
      </c>
      <c r="D211" s="33">
        <v>117600</v>
      </c>
    </row>
    <row r="212" spans="1:4">
      <c r="A212" s="18" t="s">
        <v>30</v>
      </c>
      <c r="B212" s="34" t="s">
        <v>77</v>
      </c>
      <c r="C212" s="19" t="s">
        <v>5</v>
      </c>
      <c r="D212" s="33">
        <v>361200</v>
      </c>
    </row>
    <row r="213" spans="1:4">
      <c r="A213" s="18" t="s">
        <v>30</v>
      </c>
      <c r="B213" s="34" t="s">
        <v>77</v>
      </c>
      <c r="C213" s="19" t="s">
        <v>10</v>
      </c>
      <c r="D213" s="33">
        <v>3415000</v>
      </c>
    </row>
    <row r="214" spans="1:4">
      <c r="A214" s="18" t="s">
        <v>30</v>
      </c>
      <c r="B214" s="34" t="s">
        <v>77</v>
      </c>
      <c r="C214" s="19" t="s">
        <v>8</v>
      </c>
      <c r="D214" s="33">
        <v>0</v>
      </c>
    </row>
    <row r="215" spans="1:4">
      <c r="A215" s="18" t="s">
        <v>30</v>
      </c>
      <c r="B215" s="34" t="s">
        <v>77</v>
      </c>
      <c r="C215" s="19" t="s">
        <v>9</v>
      </c>
      <c r="D215" s="33">
        <v>0</v>
      </c>
    </row>
    <row r="216" spans="1:4">
      <c r="A216" s="18" t="s">
        <v>30</v>
      </c>
      <c r="B216" s="34" t="s">
        <v>77</v>
      </c>
      <c r="C216" s="19" t="s">
        <v>7</v>
      </c>
      <c r="D216" s="33">
        <v>0</v>
      </c>
    </row>
    <row r="217" spans="1:4">
      <c r="A217" s="18" t="s">
        <v>30</v>
      </c>
      <c r="B217" s="34" t="s">
        <v>77</v>
      </c>
      <c r="C217" s="19" t="s">
        <v>12</v>
      </c>
      <c r="D217" s="33">
        <v>24400</v>
      </c>
    </row>
    <row r="218" spans="1:4">
      <c r="A218" s="18" t="s">
        <v>31</v>
      </c>
      <c r="B218" s="34" t="s">
        <v>76</v>
      </c>
      <c r="C218" s="19" t="s">
        <v>1</v>
      </c>
      <c r="D218" s="33">
        <v>8200</v>
      </c>
    </row>
    <row r="219" spans="1:4">
      <c r="A219" s="18" t="s">
        <v>31</v>
      </c>
      <c r="B219" s="34" t="s">
        <v>76</v>
      </c>
      <c r="C219" s="19" t="s">
        <v>3</v>
      </c>
      <c r="D219" s="33">
        <v>40200</v>
      </c>
    </row>
    <row r="220" spans="1:4">
      <c r="A220" s="18" t="s">
        <v>31</v>
      </c>
      <c r="B220" s="34" t="s">
        <v>76</v>
      </c>
      <c r="C220" s="19" t="s">
        <v>2</v>
      </c>
      <c r="D220" s="33">
        <v>4000</v>
      </c>
    </row>
    <row r="221" spans="1:4">
      <c r="A221" s="18" t="s">
        <v>31</v>
      </c>
      <c r="B221" s="34" t="s">
        <v>77</v>
      </c>
      <c r="C221" s="19" t="s">
        <v>4</v>
      </c>
      <c r="D221" s="33">
        <v>64200</v>
      </c>
    </row>
    <row r="222" spans="1:4">
      <c r="A222" s="18" t="s">
        <v>31</v>
      </c>
      <c r="B222" s="34" t="s">
        <v>77</v>
      </c>
      <c r="C222" s="19" t="s">
        <v>6</v>
      </c>
      <c r="D222" s="33">
        <v>100</v>
      </c>
    </row>
    <row r="223" spans="1:4">
      <c r="A223" s="18" t="s">
        <v>31</v>
      </c>
      <c r="B223" s="34" t="s">
        <v>77</v>
      </c>
      <c r="C223" s="19" t="s">
        <v>11</v>
      </c>
      <c r="D223" s="33">
        <v>115500</v>
      </c>
    </row>
    <row r="224" spans="1:4">
      <c r="A224" s="18" t="s">
        <v>31</v>
      </c>
      <c r="B224" s="34" t="s">
        <v>77</v>
      </c>
      <c r="C224" s="19" t="s">
        <v>5</v>
      </c>
      <c r="D224" s="33">
        <v>380100</v>
      </c>
    </row>
    <row r="225" spans="1:4">
      <c r="A225" s="18" t="s">
        <v>31</v>
      </c>
      <c r="B225" s="34" t="s">
        <v>77</v>
      </c>
      <c r="C225" s="19" t="s">
        <v>10</v>
      </c>
      <c r="D225" s="33">
        <v>3142800</v>
      </c>
    </row>
    <row r="226" spans="1:4">
      <c r="A226" s="18" t="s">
        <v>31</v>
      </c>
      <c r="B226" s="34" t="s">
        <v>77</v>
      </c>
      <c r="C226" s="19" t="s">
        <v>8</v>
      </c>
      <c r="D226" s="33">
        <v>0</v>
      </c>
    </row>
    <row r="227" spans="1:4">
      <c r="A227" s="18" t="s">
        <v>31</v>
      </c>
      <c r="B227" s="34" t="s">
        <v>77</v>
      </c>
      <c r="C227" s="19" t="s">
        <v>9</v>
      </c>
      <c r="D227" s="33">
        <v>0</v>
      </c>
    </row>
    <row r="228" spans="1:4">
      <c r="A228" s="18" t="s">
        <v>31</v>
      </c>
      <c r="B228" s="34" t="s">
        <v>77</v>
      </c>
      <c r="C228" s="19" t="s">
        <v>7</v>
      </c>
      <c r="D228" s="33">
        <v>0</v>
      </c>
    </row>
    <row r="229" spans="1:4">
      <c r="A229" s="18" t="s">
        <v>31</v>
      </c>
      <c r="B229" s="34" t="s">
        <v>77</v>
      </c>
      <c r="C229" s="19" t="s">
        <v>12</v>
      </c>
      <c r="D229" s="33">
        <v>19100</v>
      </c>
    </row>
    <row r="230" spans="1:4">
      <c r="A230" s="18" t="s">
        <v>32</v>
      </c>
      <c r="B230" s="34" t="s">
        <v>76</v>
      </c>
      <c r="C230" s="19" t="s">
        <v>1</v>
      </c>
      <c r="D230" s="33">
        <v>7400</v>
      </c>
    </row>
    <row r="231" spans="1:4">
      <c r="A231" s="18" t="s">
        <v>32</v>
      </c>
      <c r="B231" s="34" t="s">
        <v>76</v>
      </c>
      <c r="C231" s="19" t="s">
        <v>3</v>
      </c>
      <c r="D231" s="33">
        <v>33600</v>
      </c>
    </row>
    <row r="232" spans="1:4">
      <c r="A232" s="18" t="s">
        <v>32</v>
      </c>
      <c r="B232" s="34" t="s">
        <v>76</v>
      </c>
      <c r="C232" s="19" t="s">
        <v>2</v>
      </c>
      <c r="D232" s="33">
        <v>7600</v>
      </c>
    </row>
    <row r="233" spans="1:4">
      <c r="A233" s="18" t="s">
        <v>32</v>
      </c>
      <c r="B233" s="34" t="s">
        <v>77</v>
      </c>
      <c r="C233" s="19" t="s">
        <v>4</v>
      </c>
      <c r="D233" s="33">
        <v>12000</v>
      </c>
    </row>
    <row r="234" spans="1:4">
      <c r="A234" s="18" t="s">
        <v>32</v>
      </c>
      <c r="B234" s="34" t="s">
        <v>77</v>
      </c>
      <c r="C234" s="19" t="s">
        <v>6</v>
      </c>
      <c r="D234" s="33">
        <v>0</v>
      </c>
    </row>
    <row r="235" spans="1:4">
      <c r="A235" s="18" t="s">
        <v>32</v>
      </c>
      <c r="B235" s="34" t="s">
        <v>77</v>
      </c>
      <c r="C235" s="19" t="s">
        <v>11</v>
      </c>
      <c r="D235" s="33">
        <v>26900</v>
      </c>
    </row>
    <row r="236" spans="1:4">
      <c r="A236" s="18" t="s">
        <v>32</v>
      </c>
      <c r="B236" s="34" t="s">
        <v>77</v>
      </c>
      <c r="C236" s="19" t="s">
        <v>5</v>
      </c>
      <c r="D236" s="33">
        <v>104500</v>
      </c>
    </row>
    <row r="237" spans="1:4">
      <c r="A237" s="18" t="s">
        <v>32</v>
      </c>
      <c r="B237" s="34" t="s">
        <v>77</v>
      </c>
      <c r="C237" s="19" t="s">
        <v>10</v>
      </c>
      <c r="D237" s="33">
        <v>1036100</v>
      </c>
    </row>
    <row r="238" spans="1:4">
      <c r="A238" s="18" t="s">
        <v>32</v>
      </c>
      <c r="B238" s="34" t="s">
        <v>77</v>
      </c>
      <c r="C238" s="19" t="s">
        <v>8</v>
      </c>
      <c r="D238" s="33">
        <v>0</v>
      </c>
    </row>
    <row r="239" spans="1:4">
      <c r="A239" s="18" t="s">
        <v>32</v>
      </c>
      <c r="B239" s="34" t="s">
        <v>77</v>
      </c>
      <c r="C239" s="19" t="s">
        <v>9</v>
      </c>
      <c r="D239" s="33">
        <v>0</v>
      </c>
    </row>
    <row r="240" spans="1:4">
      <c r="A240" s="18" t="s">
        <v>32</v>
      </c>
      <c r="B240" s="34" t="s">
        <v>77</v>
      </c>
      <c r="C240" s="19" t="s">
        <v>7</v>
      </c>
      <c r="D240" s="33">
        <v>0</v>
      </c>
    </row>
    <row r="241" spans="1:4">
      <c r="A241" s="18" t="s">
        <v>32</v>
      </c>
      <c r="B241" s="34" t="s">
        <v>77</v>
      </c>
      <c r="C241" s="19" t="s">
        <v>12</v>
      </c>
      <c r="D241" s="33">
        <v>7900</v>
      </c>
    </row>
    <row r="242" spans="1:4">
      <c r="A242" s="18" t="s">
        <v>33</v>
      </c>
      <c r="B242" s="34" t="s">
        <v>76</v>
      </c>
      <c r="C242" s="19" t="s">
        <v>1</v>
      </c>
      <c r="D242" s="33">
        <v>72100</v>
      </c>
    </row>
    <row r="243" spans="1:4">
      <c r="A243" s="18" t="s">
        <v>33</v>
      </c>
      <c r="B243" s="34" t="s">
        <v>76</v>
      </c>
      <c r="C243" s="19" t="s">
        <v>3</v>
      </c>
      <c r="D243" s="33">
        <v>168700</v>
      </c>
    </row>
    <row r="244" spans="1:4">
      <c r="A244" s="18" t="s">
        <v>33</v>
      </c>
      <c r="B244" s="34" t="s">
        <v>76</v>
      </c>
      <c r="C244" s="19" t="s">
        <v>2</v>
      </c>
      <c r="D244" s="33">
        <v>31300</v>
      </c>
    </row>
    <row r="245" spans="1:4">
      <c r="A245" s="18" t="s">
        <v>33</v>
      </c>
      <c r="B245" s="34" t="s">
        <v>77</v>
      </c>
      <c r="C245" s="19" t="s">
        <v>4</v>
      </c>
      <c r="D245" s="33">
        <v>32100</v>
      </c>
    </row>
    <row r="246" spans="1:4">
      <c r="A246" s="18" t="s">
        <v>33</v>
      </c>
      <c r="B246" s="34" t="s">
        <v>77</v>
      </c>
      <c r="C246" s="19" t="s">
        <v>6</v>
      </c>
      <c r="D246" s="33">
        <v>300</v>
      </c>
    </row>
    <row r="247" spans="1:4">
      <c r="A247" s="18" t="s">
        <v>33</v>
      </c>
      <c r="B247" s="34" t="s">
        <v>77</v>
      </c>
      <c r="C247" s="19" t="s">
        <v>11</v>
      </c>
      <c r="D247" s="33">
        <v>86900</v>
      </c>
    </row>
    <row r="248" spans="1:4">
      <c r="A248" s="18" t="s">
        <v>33</v>
      </c>
      <c r="B248" s="34" t="s">
        <v>77</v>
      </c>
      <c r="C248" s="19" t="s">
        <v>5</v>
      </c>
      <c r="D248" s="33">
        <v>309300</v>
      </c>
    </row>
    <row r="249" spans="1:4">
      <c r="A249" s="18" t="s">
        <v>33</v>
      </c>
      <c r="B249" s="34" t="s">
        <v>77</v>
      </c>
      <c r="C249" s="19" t="s">
        <v>10</v>
      </c>
      <c r="D249" s="33">
        <v>4327800</v>
      </c>
    </row>
    <row r="250" spans="1:4">
      <c r="A250" s="18" t="s">
        <v>33</v>
      </c>
      <c r="B250" s="34" t="s">
        <v>77</v>
      </c>
      <c r="C250" s="19" t="s">
        <v>8</v>
      </c>
      <c r="D250" s="33">
        <v>0</v>
      </c>
    </row>
    <row r="251" spans="1:4">
      <c r="A251" s="18" t="s">
        <v>33</v>
      </c>
      <c r="B251" s="34" t="s">
        <v>77</v>
      </c>
      <c r="C251" s="19" t="s">
        <v>9</v>
      </c>
      <c r="D251" s="33">
        <v>0</v>
      </c>
    </row>
    <row r="252" spans="1:4">
      <c r="A252" s="18" t="s">
        <v>33</v>
      </c>
      <c r="B252" s="34" t="s">
        <v>77</v>
      </c>
      <c r="C252" s="19" t="s">
        <v>7</v>
      </c>
      <c r="D252" s="33">
        <v>0</v>
      </c>
    </row>
    <row r="253" spans="1:4">
      <c r="A253" s="18" t="s">
        <v>33</v>
      </c>
      <c r="B253" s="34" t="s">
        <v>77</v>
      </c>
      <c r="C253" s="19" t="s">
        <v>12</v>
      </c>
      <c r="D253" s="33">
        <v>31500</v>
      </c>
    </row>
    <row r="254" spans="1:4">
      <c r="A254" s="18" t="s">
        <v>34</v>
      </c>
      <c r="B254" s="34" t="s">
        <v>76</v>
      </c>
      <c r="C254" s="19" t="s">
        <v>1</v>
      </c>
      <c r="D254" s="33">
        <v>73800</v>
      </c>
    </row>
    <row r="255" spans="1:4">
      <c r="A255" s="18" t="s">
        <v>34</v>
      </c>
      <c r="B255" s="34" t="s">
        <v>76</v>
      </c>
      <c r="C255" s="19" t="s">
        <v>3</v>
      </c>
      <c r="D255" s="33">
        <v>187300</v>
      </c>
    </row>
    <row r="256" spans="1:4">
      <c r="A256" s="18" t="s">
        <v>34</v>
      </c>
      <c r="B256" s="34" t="s">
        <v>76</v>
      </c>
      <c r="C256" s="19" t="s">
        <v>2</v>
      </c>
      <c r="D256" s="33">
        <v>43800</v>
      </c>
    </row>
    <row r="257" spans="1:4">
      <c r="A257" s="18" t="s">
        <v>34</v>
      </c>
      <c r="B257" s="34" t="s">
        <v>77</v>
      </c>
      <c r="C257" s="19" t="s">
        <v>4</v>
      </c>
      <c r="D257" s="33">
        <v>21300</v>
      </c>
    </row>
    <row r="258" spans="1:4">
      <c r="A258" s="18" t="s">
        <v>34</v>
      </c>
      <c r="B258" s="34" t="s">
        <v>77</v>
      </c>
      <c r="C258" s="19" t="s">
        <v>6</v>
      </c>
      <c r="D258" s="33">
        <v>200</v>
      </c>
    </row>
    <row r="259" spans="1:4">
      <c r="A259" s="18" t="s">
        <v>34</v>
      </c>
      <c r="B259" s="34" t="s">
        <v>77</v>
      </c>
      <c r="C259" s="19" t="s">
        <v>11</v>
      </c>
      <c r="D259" s="33">
        <v>58400</v>
      </c>
    </row>
    <row r="260" spans="1:4">
      <c r="A260" s="18" t="s">
        <v>34</v>
      </c>
      <c r="B260" s="34" t="s">
        <v>77</v>
      </c>
      <c r="C260" s="19" t="s">
        <v>5</v>
      </c>
      <c r="D260" s="33">
        <v>285000</v>
      </c>
    </row>
    <row r="261" spans="1:4">
      <c r="A261" s="18" t="s">
        <v>34</v>
      </c>
      <c r="B261" s="34" t="s">
        <v>77</v>
      </c>
      <c r="C261" s="19" t="s">
        <v>10</v>
      </c>
      <c r="D261" s="33">
        <v>4791300</v>
      </c>
    </row>
    <row r="262" spans="1:4">
      <c r="A262" s="18" t="s">
        <v>34</v>
      </c>
      <c r="B262" s="34" t="s">
        <v>77</v>
      </c>
      <c r="C262" s="19" t="s">
        <v>8</v>
      </c>
      <c r="D262" s="33">
        <v>0</v>
      </c>
    </row>
    <row r="263" spans="1:4">
      <c r="A263" s="18" t="s">
        <v>34</v>
      </c>
      <c r="B263" s="34" t="s">
        <v>77</v>
      </c>
      <c r="C263" s="19" t="s">
        <v>9</v>
      </c>
      <c r="D263" s="33">
        <v>0</v>
      </c>
    </row>
    <row r="264" spans="1:4">
      <c r="A264" s="18" t="s">
        <v>34</v>
      </c>
      <c r="B264" s="34" t="s">
        <v>77</v>
      </c>
      <c r="C264" s="19" t="s">
        <v>7</v>
      </c>
      <c r="D264" s="33">
        <v>0</v>
      </c>
    </row>
    <row r="265" spans="1:4">
      <c r="A265" s="18" t="s">
        <v>34</v>
      </c>
      <c r="B265" s="34" t="s">
        <v>77</v>
      </c>
      <c r="C265" s="19" t="s">
        <v>12</v>
      </c>
      <c r="D265" s="33">
        <v>30000</v>
      </c>
    </row>
    <row r="266" spans="1:4">
      <c r="A266" s="18" t="s">
        <v>35</v>
      </c>
      <c r="B266" s="34" t="s">
        <v>76</v>
      </c>
      <c r="C266" s="19" t="s">
        <v>1</v>
      </c>
      <c r="D266" s="33">
        <v>50300</v>
      </c>
    </row>
    <row r="267" spans="1:4">
      <c r="A267" s="18" t="s">
        <v>35</v>
      </c>
      <c r="B267" s="34" t="s">
        <v>76</v>
      </c>
      <c r="C267" s="19" t="s">
        <v>3</v>
      </c>
      <c r="D267" s="33">
        <v>148100</v>
      </c>
    </row>
    <row r="268" spans="1:4">
      <c r="A268" s="18" t="s">
        <v>35</v>
      </c>
      <c r="B268" s="34" t="s">
        <v>76</v>
      </c>
      <c r="C268" s="19" t="s">
        <v>2</v>
      </c>
      <c r="D268" s="33">
        <v>29100</v>
      </c>
    </row>
    <row r="269" spans="1:4">
      <c r="A269" s="18" t="s">
        <v>35</v>
      </c>
      <c r="B269" s="34" t="s">
        <v>77</v>
      </c>
      <c r="C269" s="19" t="s">
        <v>4</v>
      </c>
      <c r="D269" s="33">
        <v>70400</v>
      </c>
    </row>
    <row r="270" spans="1:4">
      <c r="A270" s="18" t="s">
        <v>35</v>
      </c>
      <c r="B270" s="34" t="s">
        <v>77</v>
      </c>
      <c r="C270" s="19" t="s">
        <v>6</v>
      </c>
      <c r="D270" s="33">
        <v>300</v>
      </c>
    </row>
    <row r="271" spans="1:4">
      <c r="A271" s="18" t="s">
        <v>35</v>
      </c>
      <c r="B271" s="34" t="s">
        <v>77</v>
      </c>
      <c r="C271" s="19" t="s">
        <v>11</v>
      </c>
      <c r="D271" s="33">
        <v>174500</v>
      </c>
    </row>
    <row r="272" spans="1:4">
      <c r="A272" s="18" t="s">
        <v>35</v>
      </c>
      <c r="B272" s="34" t="s">
        <v>77</v>
      </c>
      <c r="C272" s="19" t="s">
        <v>5</v>
      </c>
      <c r="D272" s="33">
        <v>873700</v>
      </c>
    </row>
    <row r="273" spans="1:4">
      <c r="A273" s="18" t="s">
        <v>35</v>
      </c>
      <c r="B273" s="34" t="s">
        <v>77</v>
      </c>
      <c r="C273" s="19" t="s">
        <v>10</v>
      </c>
      <c r="D273" s="33">
        <v>7129600</v>
      </c>
    </row>
    <row r="274" spans="1:4">
      <c r="A274" s="18" t="s">
        <v>35</v>
      </c>
      <c r="B274" s="34" t="s">
        <v>77</v>
      </c>
      <c r="C274" s="19" t="s">
        <v>8</v>
      </c>
      <c r="D274" s="33">
        <v>0</v>
      </c>
    </row>
    <row r="275" spans="1:4">
      <c r="A275" s="18" t="s">
        <v>35</v>
      </c>
      <c r="B275" s="34" t="s">
        <v>77</v>
      </c>
      <c r="C275" s="19" t="s">
        <v>9</v>
      </c>
      <c r="D275" s="33">
        <v>0</v>
      </c>
    </row>
    <row r="276" spans="1:4">
      <c r="A276" s="18" t="s">
        <v>35</v>
      </c>
      <c r="B276" s="34" t="s">
        <v>77</v>
      </c>
      <c r="C276" s="19" t="s">
        <v>7</v>
      </c>
      <c r="D276" s="33">
        <v>0</v>
      </c>
    </row>
    <row r="277" spans="1:4">
      <c r="A277" s="18" t="s">
        <v>35</v>
      </c>
      <c r="B277" s="34" t="s">
        <v>77</v>
      </c>
      <c r="C277" s="19" t="s">
        <v>12</v>
      </c>
      <c r="D277" s="33">
        <v>49400</v>
      </c>
    </row>
    <row r="278" spans="1:4">
      <c r="A278" s="18" t="s">
        <v>36</v>
      </c>
      <c r="B278" s="34" t="s">
        <v>76</v>
      </c>
      <c r="C278" s="19" t="s">
        <v>1</v>
      </c>
      <c r="D278" s="33">
        <v>37100</v>
      </c>
    </row>
    <row r="279" spans="1:4">
      <c r="A279" s="18" t="s">
        <v>36</v>
      </c>
      <c r="B279" s="34" t="s">
        <v>76</v>
      </c>
      <c r="C279" s="19" t="s">
        <v>3</v>
      </c>
      <c r="D279" s="33">
        <v>124500</v>
      </c>
    </row>
    <row r="280" spans="1:4">
      <c r="A280" s="18" t="s">
        <v>36</v>
      </c>
      <c r="B280" s="34" t="s">
        <v>76</v>
      </c>
      <c r="C280" s="19" t="s">
        <v>2</v>
      </c>
      <c r="D280" s="33">
        <v>16100</v>
      </c>
    </row>
    <row r="281" spans="1:4">
      <c r="A281" s="18" t="s">
        <v>36</v>
      </c>
      <c r="B281" s="34" t="s">
        <v>77</v>
      </c>
      <c r="C281" s="19" t="s">
        <v>4</v>
      </c>
      <c r="D281" s="33">
        <v>52700</v>
      </c>
    </row>
    <row r="282" spans="1:4">
      <c r="A282" s="18" t="s">
        <v>36</v>
      </c>
      <c r="B282" s="34" t="s">
        <v>77</v>
      </c>
      <c r="C282" s="19" t="s">
        <v>6</v>
      </c>
      <c r="D282" s="33">
        <v>100</v>
      </c>
    </row>
    <row r="283" spans="1:4">
      <c r="A283" s="18" t="s">
        <v>36</v>
      </c>
      <c r="B283" s="34" t="s">
        <v>77</v>
      </c>
      <c r="C283" s="19" t="s">
        <v>11</v>
      </c>
      <c r="D283" s="33">
        <v>127900</v>
      </c>
    </row>
    <row r="284" spans="1:4">
      <c r="A284" s="18" t="s">
        <v>36</v>
      </c>
      <c r="B284" s="34" t="s">
        <v>77</v>
      </c>
      <c r="C284" s="19" t="s">
        <v>5</v>
      </c>
      <c r="D284" s="33">
        <v>516400</v>
      </c>
    </row>
    <row r="285" spans="1:4">
      <c r="A285" s="18" t="s">
        <v>36</v>
      </c>
      <c r="B285" s="34" t="s">
        <v>77</v>
      </c>
      <c r="C285" s="19" t="s">
        <v>10</v>
      </c>
      <c r="D285" s="33">
        <v>4219200</v>
      </c>
    </row>
    <row r="286" spans="1:4">
      <c r="A286" s="18" t="s">
        <v>36</v>
      </c>
      <c r="B286" s="34" t="s">
        <v>77</v>
      </c>
      <c r="C286" s="19" t="s">
        <v>8</v>
      </c>
      <c r="D286" s="33">
        <v>0</v>
      </c>
    </row>
    <row r="287" spans="1:4">
      <c r="A287" s="18" t="s">
        <v>36</v>
      </c>
      <c r="B287" s="34" t="s">
        <v>77</v>
      </c>
      <c r="C287" s="19" t="s">
        <v>9</v>
      </c>
      <c r="D287" s="33">
        <v>0</v>
      </c>
    </row>
    <row r="288" spans="1:4">
      <c r="A288" s="18" t="s">
        <v>36</v>
      </c>
      <c r="B288" s="34" t="s">
        <v>77</v>
      </c>
      <c r="C288" s="19" t="s">
        <v>7</v>
      </c>
      <c r="D288" s="33">
        <v>0</v>
      </c>
    </row>
    <row r="289" spans="1:4">
      <c r="A289" s="18" t="s">
        <v>36</v>
      </c>
      <c r="B289" s="34" t="s">
        <v>77</v>
      </c>
      <c r="C289" s="19" t="s">
        <v>12</v>
      </c>
      <c r="D289" s="33">
        <v>24500</v>
      </c>
    </row>
    <row r="290" spans="1:4">
      <c r="A290" s="18" t="s">
        <v>37</v>
      </c>
      <c r="B290" s="34" t="s">
        <v>76</v>
      </c>
      <c r="C290" s="19" t="s">
        <v>1</v>
      </c>
      <c r="D290" s="33">
        <v>3600</v>
      </c>
    </row>
    <row r="291" spans="1:4">
      <c r="A291" s="18" t="s">
        <v>37</v>
      </c>
      <c r="B291" s="34" t="s">
        <v>76</v>
      </c>
      <c r="C291" s="19" t="s">
        <v>3</v>
      </c>
      <c r="D291" s="33">
        <v>28200</v>
      </c>
    </row>
    <row r="292" spans="1:4">
      <c r="A292" s="18" t="s">
        <v>37</v>
      </c>
      <c r="B292" s="34" t="s">
        <v>76</v>
      </c>
      <c r="C292" s="19" t="s">
        <v>2</v>
      </c>
      <c r="D292" s="33">
        <v>2000</v>
      </c>
    </row>
    <row r="293" spans="1:4">
      <c r="A293" s="18" t="s">
        <v>37</v>
      </c>
      <c r="B293" s="34" t="s">
        <v>77</v>
      </c>
      <c r="C293" s="19" t="s">
        <v>4</v>
      </c>
      <c r="D293" s="33">
        <v>34900</v>
      </c>
    </row>
    <row r="294" spans="1:4">
      <c r="A294" s="18" t="s">
        <v>37</v>
      </c>
      <c r="B294" s="34" t="s">
        <v>77</v>
      </c>
      <c r="C294" s="19" t="s">
        <v>6</v>
      </c>
      <c r="D294" s="33">
        <v>100</v>
      </c>
    </row>
    <row r="295" spans="1:4">
      <c r="A295" s="18" t="s">
        <v>37</v>
      </c>
      <c r="B295" s="34" t="s">
        <v>77</v>
      </c>
      <c r="C295" s="19" t="s">
        <v>11</v>
      </c>
      <c r="D295" s="33">
        <v>75200</v>
      </c>
    </row>
    <row r="296" spans="1:4">
      <c r="A296" s="18" t="s">
        <v>37</v>
      </c>
      <c r="B296" s="34" t="s">
        <v>77</v>
      </c>
      <c r="C296" s="19" t="s">
        <v>5</v>
      </c>
      <c r="D296" s="33">
        <v>295200</v>
      </c>
    </row>
    <row r="297" spans="1:4">
      <c r="A297" s="18" t="s">
        <v>37</v>
      </c>
      <c r="B297" s="34" t="s">
        <v>77</v>
      </c>
      <c r="C297" s="19" t="s">
        <v>10</v>
      </c>
      <c r="D297" s="33">
        <v>2275600</v>
      </c>
    </row>
    <row r="298" spans="1:4">
      <c r="A298" s="18" t="s">
        <v>37</v>
      </c>
      <c r="B298" s="34" t="s">
        <v>77</v>
      </c>
      <c r="C298" s="19" t="s">
        <v>8</v>
      </c>
      <c r="D298" s="33">
        <v>0</v>
      </c>
    </row>
    <row r="299" spans="1:4">
      <c r="A299" s="18" t="s">
        <v>37</v>
      </c>
      <c r="B299" s="34" t="s">
        <v>77</v>
      </c>
      <c r="C299" s="19" t="s">
        <v>9</v>
      </c>
      <c r="D299" s="33">
        <v>0</v>
      </c>
    </row>
    <row r="300" spans="1:4">
      <c r="A300" s="18" t="s">
        <v>37</v>
      </c>
      <c r="B300" s="34" t="s">
        <v>77</v>
      </c>
      <c r="C300" s="19" t="s">
        <v>7</v>
      </c>
      <c r="D300" s="33">
        <v>0</v>
      </c>
    </row>
    <row r="301" spans="1:4">
      <c r="A301" s="18" t="s">
        <v>37</v>
      </c>
      <c r="B301" s="34" t="s">
        <v>77</v>
      </c>
      <c r="C301" s="19" t="s">
        <v>12</v>
      </c>
      <c r="D301" s="33">
        <v>8500</v>
      </c>
    </row>
    <row r="302" spans="1:4">
      <c r="A302" s="18" t="s">
        <v>38</v>
      </c>
      <c r="B302" s="34" t="s">
        <v>76</v>
      </c>
      <c r="C302" s="19" t="s">
        <v>1</v>
      </c>
      <c r="D302" s="33">
        <v>26900</v>
      </c>
    </row>
    <row r="303" spans="1:4">
      <c r="A303" s="18" t="s">
        <v>38</v>
      </c>
      <c r="B303" s="34" t="s">
        <v>76</v>
      </c>
      <c r="C303" s="19" t="s">
        <v>3</v>
      </c>
      <c r="D303" s="33">
        <v>113900</v>
      </c>
    </row>
    <row r="304" spans="1:4">
      <c r="A304" s="18" t="s">
        <v>38</v>
      </c>
      <c r="B304" s="34" t="s">
        <v>76</v>
      </c>
      <c r="C304" s="19" t="s">
        <v>2</v>
      </c>
      <c r="D304" s="33">
        <v>13900</v>
      </c>
    </row>
    <row r="305" spans="1:4">
      <c r="A305" s="18" t="s">
        <v>38</v>
      </c>
      <c r="B305" s="34" t="s">
        <v>77</v>
      </c>
      <c r="C305" s="19" t="s">
        <v>4</v>
      </c>
      <c r="D305" s="33">
        <v>70400</v>
      </c>
    </row>
    <row r="306" spans="1:4">
      <c r="A306" s="18" t="s">
        <v>38</v>
      </c>
      <c r="B306" s="34" t="s">
        <v>77</v>
      </c>
      <c r="C306" s="19" t="s">
        <v>6</v>
      </c>
      <c r="D306" s="33">
        <v>900</v>
      </c>
    </row>
    <row r="307" spans="1:4">
      <c r="A307" s="18" t="s">
        <v>38</v>
      </c>
      <c r="B307" s="34" t="s">
        <v>77</v>
      </c>
      <c r="C307" s="19" t="s">
        <v>11</v>
      </c>
      <c r="D307" s="33">
        <v>178200</v>
      </c>
    </row>
    <row r="308" spans="1:4">
      <c r="A308" s="18" t="s">
        <v>38</v>
      </c>
      <c r="B308" s="34" t="s">
        <v>77</v>
      </c>
      <c r="C308" s="19" t="s">
        <v>5</v>
      </c>
      <c r="D308" s="33">
        <v>575500</v>
      </c>
    </row>
    <row r="309" spans="1:4">
      <c r="A309" s="18" t="s">
        <v>38</v>
      </c>
      <c r="B309" s="34" t="s">
        <v>77</v>
      </c>
      <c r="C309" s="19" t="s">
        <v>10</v>
      </c>
      <c r="D309" s="33">
        <v>4608600</v>
      </c>
    </row>
    <row r="310" spans="1:4">
      <c r="A310" s="18" t="s">
        <v>38</v>
      </c>
      <c r="B310" s="34" t="s">
        <v>77</v>
      </c>
      <c r="C310" s="19" t="s">
        <v>8</v>
      </c>
      <c r="D310" s="33">
        <v>0</v>
      </c>
    </row>
    <row r="311" spans="1:4">
      <c r="A311" s="18" t="s">
        <v>38</v>
      </c>
      <c r="B311" s="34" t="s">
        <v>77</v>
      </c>
      <c r="C311" s="19" t="s">
        <v>9</v>
      </c>
      <c r="D311" s="33">
        <v>0</v>
      </c>
    </row>
    <row r="312" spans="1:4">
      <c r="A312" s="18" t="s">
        <v>38</v>
      </c>
      <c r="B312" s="34" t="s">
        <v>77</v>
      </c>
      <c r="C312" s="19" t="s">
        <v>7</v>
      </c>
      <c r="D312" s="33">
        <v>100</v>
      </c>
    </row>
    <row r="313" spans="1:4">
      <c r="A313" s="18" t="s">
        <v>38</v>
      </c>
      <c r="B313" s="34" t="s">
        <v>77</v>
      </c>
      <c r="C313" s="19" t="s">
        <v>12</v>
      </c>
      <c r="D313" s="33">
        <v>37600</v>
      </c>
    </row>
    <row r="314" spans="1:4">
      <c r="A314" s="18" t="s">
        <v>39</v>
      </c>
      <c r="B314" s="34" t="s">
        <v>76</v>
      </c>
      <c r="C314" s="19" t="s">
        <v>1</v>
      </c>
      <c r="D314" s="33">
        <v>4600</v>
      </c>
    </row>
    <row r="315" spans="1:4">
      <c r="A315" s="18" t="s">
        <v>39</v>
      </c>
      <c r="B315" s="34" t="s">
        <v>76</v>
      </c>
      <c r="C315" s="19" t="s">
        <v>3</v>
      </c>
      <c r="D315" s="33">
        <v>21100</v>
      </c>
    </row>
    <row r="316" spans="1:4">
      <c r="A316" s="18" t="s">
        <v>39</v>
      </c>
      <c r="B316" s="34" t="s">
        <v>76</v>
      </c>
      <c r="C316" s="19" t="s">
        <v>2</v>
      </c>
      <c r="D316" s="33">
        <v>2500</v>
      </c>
    </row>
    <row r="317" spans="1:4">
      <c r="A317" s="18" t="s">
        <v>39</v>
      </c>
      <c r="B317" s="34" t="s">
        <v>77</v>
      </c>
      <c r="C317" s="19" t="s">
        <v>4</v>
      </c>
      <c r="D317" s="33">
        <v>37900</v>
      </c>
    </row>
    <row r="318" spans="1:4">
      <c r="A318" s="18" t="s">
        <v>39</v>
      </c>
      <c r="B318" s="34" t="s">
        <v>77</v>
      </c>
      <c r="C318" s="19" t="s">
        <v>6</v>
      </c>
      <c r="D318" s="33">
        <v>0</v>
      </c>
    </row>
    <row r="319" spans="1:4">
      <c r="A319" s="18" t="s">
        <v>39</v>
      </c>
      <c r="B319" s="34" t="s">
        <v>77</v>
      </c>
      <c r="C319" s="19" t="s">
        <v>11</v>
      </c>
      <c r="D319" s="33">
        <v>69600</v>
      </c>
    </row>
    <row r="320" spans="1:4">
      <c r="A320" s="18" t="s">
        <v>39</v>
      </c>
      <c r="B320" s="34" t="s">
        <v>77</v>
      </c>
      <c r="C320" s="19" t="s">
        <v>5</v>
      </c>
      <c r="D320" s="33">
        <v>94500</v>
      </c>
    </row>
    <row r="321" spans="1:4">
      <c r="A321" s="18" t="s">
        <v>39</v>
      </c>
      <c r="B321" s="34" t="s">
        <v>77</v>
      </c>
      <c r="C321" s="19" t="s">
        <v>10</v>
      </c>
      <c r="D321" s="33">
        <v>780700</v>
      </c>
    </row>
    <row r="322" spans="1:4">
      <c r="A322" s="18" t="s">
        <v>39</v>
      </c>
      <c r="B322" s="34" t="s">
        <v>77</v>
      </c>
      <c r="C322" s="19" t="s">
        <v>8</v>
      </c>
      <c r="D322" s="33">
        <v>0</v>
      </c>
    </row>
    <row r="323" spans="1:4">
      <c r="A323" s="18" t="s">
        <v>39</v>
      </c>
      <c r="B323" s="34" t="s">
        <v>77</v>
      </c>
      <c r="C323" s="19" t="s">
        <v>9</v>
      </c>
      <c r="D323" s="33">
        <v>0</v>
      </c>
    </row>
    <row r="324" spans="1:4">
      <c r="A324" s="18" t="s">
        <v>39</v>
      </c>
      <c r="B324" s="34" t="s">
        <v>77</v>
      </c>
      <c r="C324" s="19" t="s">
        <v>7</v>
      </c>
      <c r="D324" s="33">
        <v>0</v>
      </c>
    </row>
    <row r="325" spans="1:4">
      <c r="A325" s="18" t="s">
        <v>39</v>
      </c>
      <c r="B325" s="34" t="s">
        <v>77</v>
      </c>
      <c r="C325" s="19" t="s">
        <v>12</v>
      </c>
      <c r="D325" s="33">
        <v>10800</v>
      </c>
    </row>
    <row r="326" spans="1:4">
      <c r="A326" s="18" t="s">
        <v>40</v>
      </c>
      <c r="B326" s="34" t="s">
        <v>76</v>
      </c>
      <c r="C326" s="19" t="s">
        <v>1</v>
      </c>
      <c r="D326" s="33">
        <v>6900</v>
      </c>
    </row>
    <row r="327" spans="1:4">
      <c r="A327" s="18" t="s">
        <v>40</v>
      </c>
      <c r="B327" s="34" t="s">
        <v>76</v>
      </c>
      <c r="C327" s="19" t="s">
        <v>3</v>
      </c>
      <c r="D327" s="33">
        <v>32600</v>
      </c>
    </row>
    <row r="328" spans="1:4">
      <c r="A328" s="18" t="s">
        <v>40</v>
      </c>
      <c r="B328" s="34" t="s">
        <v>76</v>
      </c>
      <c r="C328" s="19" t="s">
        <v>2</v>
      </c>
      <c r="D328" s="33">
        <v>3800</v>
      </c>
    </row>
    <row r="329" spans="1:4">
      <c r="A329" s="18" t="s">
        <v>40</v>
      </c>
      <c r="B329" s="34" t="s">
        <v>77</v>
      </c>
      <c r="C329" s="19" t="s">
        <v>4</v>
      </c>
      <c r="D329" s="33">
        <v>28900</v>
      </c>
    </row>
    <row r="330" spans="1:4">
      <c r="A330" s="18" t="s">
        <v>40</v>
      </c>
      <c r="B330" s="34" t="s">
        <v>77</v>
      </c>
      <c r="C330" s="19" t="s">
        <v>6</v>
      </c>
      <c r="D330" s="33">
        <v>100</v>
      </c>
    </row>
    <row r="331" spans="1:4">
      <c r="A331" s="18" t="s">
        <v>40</v>
      </c>
      <c r="B331" s="34" t="s">
        <v>77</v>
      </c>
      <c r="C331" s="19" t="s">
        <v>11</v>
      </c>
      <c r="D331" s="33">
        <v>76100</v>
      </c>
    </row>
    <row r="332" spans="1:4">
      <c r="A332" s="18" t="s">
        <v>40</v>
      </c>
      <c r="B332" s="34" t="s">
        <v>77</v>
      </c>
      <c r="C332" s="19" t="s">
        <v>5</v>
      </c>
      <c r="D332" s="33">
        <v>197100</v>
      </c>
    </row>
    <row r="333" spans="1:4">
      <c r="A333" s="18" t="s">
        <v>40</v>
      </c>
      <c r="B333" s="34" t="s">
        <v>77</v>
      </c>
      <c r="C333" s="19" t="s">
        <v>10</v>
      </c>
      <c r="D333" s="33">
        <v>1600400</v>
      </c>
    </row>
    <row r="334" spans="1:4">
      <c r="A334" s="18" t="s">
        <v>40</v>
      </c>
      <c r="B334" s="34" t="s">
        <v>77</v>
      </c>
      <c r="C334" s="19" t="s">
        <v>8</v>
      </c>
      <c r="D334" s="33">
        <v>0</v>
      </c>
    </row>
    <row r="335" spans="1:4">
      <c r="A335" s="18" t="s">
        <v>40</v>
      </c>
      <c r="B335" s="34" t="s">
        <v>77</v>
      </c>
      <c r="C335" s="19" t="s">
        <v>9</v>
      </c>
      <c r="D335" s="33">
        <v>0</v>
      </c>
    </row>
    <row r="336" spans="1:4">
      <c r="A336" s="18" t="s">
        <v>40</v>
      </c>
      <c r="B336" s="34" t="s">
        <v>77</v>
      </c>
      <c r="C336" s="19" t="s">
        <v>7</v>
      </c>
      <c r="D336" s="33">
        <v>0</v>
      </c>
    </row>
    <row r="337" spans="1:4">
      <c r="A337" s="18" t="s">
        <v>40</v>
      </c>
      <c r="B337" s="34" t="s">
        <v>77</v>
      </c>
      <c r="C337" s="19" t="s">
        <v>12</v>
      </c>
      <c r="D337" s="33">
        <v>25300</v>
      </c>
    </row>
    <row r="338" spans="1:4">
      <c r="A338" s="18" t="s">
        <v>41</v>
      </c>
      <c r="B338" s="34" t="s">
        <v>76</v>
      </c>
      <c r="C338" s="19" t="s">
        <v>1</v>
      </c>
      <c r="D338" s="33">
        <v>47400</v>
      </c>
    </row>
    <row r="339" spans="1:4">
      <c r="A339" s="18" t="s">
        <v>41</v>
      </c>
      <c r="B339" s="34" t="s">
        <v>76</v>
      </c>
      <c r="C339" s="19" t="s">
        <v>3</v>
      </c>
      <c r="D339" s="33">
        <v>69600</v>
      </c>
    </row>
    <row r="340" spans="1:4">
      <c r="A340" s="18" t="s">
        <v>41</v>
      </c>
      <c r="B340" s="34" t="s">
        <v>76</v>
      </c>
      <c r="C340" s="19" t="s">
        <v>2</v>
      </c>
      <c r="D340" s="33">
        <v>10600</v>
      </c>
    </row>
    <row r="341" spans="1:4">
      <c r="A341" s="18" t="s">
        <v>41</v>
      </c>
      <c r="B341" s="34" t="s">
        <v>77</v>
      </c>
      <c r="C341" s="19" t="s">
        <v>4</v>
      </c>
      <c r="D341" s="33">
        <v>27200</v>
      </c>
    </row>
    <row r="342" spans="1:4">
      <c r="A342" s="18" t="s">
        <v>41</v>
      </c>
      <c r="B342" s="34" t="s">
        <v>77</v>
      </c>
      <c r="C342" s="19" t="s">
        <v>6</v>
      </c>
      <c r="D342" s="33">
        <v>200</v>
      </c>
    </row>
    <row r="343" spans="1:4">
      <c r="A343" s="18" t="s">
        <v>41</v>
      </c>
      <c r="B343" s="34" t="s">
        <v>77</v>
      </c>
      <c r="C343" s="19" t="s">
        <v>11</v>
      </c>
      <c r="D343" s="33">
        <v>85800</v>
      </c>
    </row>
    <row r="344" spans="1:4">
      <c r="A344" s="18" t="s">
        <v>41</v>
      </c>
      <c r="B344" s="34" t="s">
        <v>77</v>
      </c>
      <c r="C344" s="19" t="s">
        <v>5</v>
      </c>
      <c r="D344" s="33">
        <v>125600</v>
      </c>
    </row>
    <row r="345" spans="1:4">
      <c r="A345" s="18" t="s">
        <v>41</v>
      </c>
      <c r="B345" s="34" t="s">
        <v>77</v>
      </c>
      <c r="C345" s="19" t="s">
        <v>10</v>
      </c>
      <c r="D345" s="33">
        <v>2169300</v>
      </c>
    </row>
    <row r="346" spans="1:4">
      <c r="A346" s="18" t="s">
        <v>41</v>
      </c>
      <c r="B346" s="34" t="s">
        <v>77</v>
      </c>
      <c r="C346" s="19" t="s">
        <v>8</v>
      </c>
      <c r="D346" s="33">
        <v>0</v>
      </c>
    </row>
    <row r="347" spans="1:4">
      <c r="A347" s="18" t="s">
        <v>41</v>
      </c>
      <c r="B347" s="34" t="s">
        <v>77</v>
      </c>
      <c r="C347" s="19" t="s">
        <v>9</v>
      </c>
      <c r="D347" s="33">
        <v>0</v>
      </c>
    </row>
    <row r="348" spans="1:4">
      <c r="A348" s="18" t="s">
        <v>41</v>
      </c>
      <c r="B348" s="34" t="s">
        <v>77</v>
      </c>
      <c r="C348" s="19" t="s">
        <v>7</v>
      </c>
      <c r="D348" s="33">
        <v>100</v>
      </c>
    </row>
    <row r="349" spans="1:4">
      <c r="A349" s="18" t="s">
        <v>41</v>
      </c>
      <c r="B349" s="34" t="s">
        <v>77</v>
      </c>
      <c r="C349" s="19" t="s">
        <v>12</v>
      </c>
      <c r="D349" s="33">
        <v>20300</v>
      </c>
    </row>
    <row r="350" spans="1:4">
      <c r="A350" s="18" t="s">
        <v>42</v>
      </c>
      <c r="B350" s="34" t="s">
        <v>76</v>
      </c>
      <c r="C350" s="19" t="s">
        <v>1</v>
      </c>
      <c r="D350" s="33">
        <v>9900</v>
      </c>
    </row>
    <row r="351" spans="1:4">
      <c r="A351" s="18" t="s">
        <v>42</v>
      </c>
      <c r="B351" s="34" t="s">
        <v>76</v>
      </c>
      <c r="C351" s="19" t="s">
        <v>3</v>
      </c>
      <c r="D351" s="33">
        <v>36800</v>
      </c>
    </row>
    <row r="352" spans="1:4">
      <c r="A352" s="18" t="s">
        <v>42</v>
      </c>
      <c r="B352" s="34" t="s">
        <v>76</v>
      </c>
      <c r="C352" s="19" t="s">
        <v>2</v>
      </c>
      <c r="D352" s="33">
        <v>6600</v>
      </c>
    </row>
    <row r="353" spans="1:4">
      <c r="A353" s="18" t="s">
        <v>42</v>
      </c>
      <c r="B353" s="34" t="s">
        <v>77</v>
      </c>
      <c r="C353" s="19" t="s">
        <v>4</v>
      </c>
      <c r="D353" s="33">
        <v>13900</v>
      </c>
    </row>
    <row r="354" spans="1:4">
      <c r="A354" s="18" t="s">
        <v>42</v>
      </c>
      <c r="B354" s="34" t="s">
        <v>77</v>
      </c>
      <c r="C354" s="19" t="s">
        <v>6</v>
      </c>
      <c r="D354" s="33">
        <v>100</v>
      </c>
    </row>
    <row r="355" spans="1:4">
      <c r="A355" s="18" t="s">
        <v>42</v>
      </c>
      <c r="B355" s="34" t="s">
        <v>77</v>
      </c>
      <c r="C355" s="19" t="s">
        <v>11</v>
      </c>
      <c r="D355" s="33">
        <v>29200</v>
      </c>
    </row>
    <row r="356" spans="1:4">
      <c r="A356" s="18" t="s">
        <v>42</v>
      </c>
      <c r="B356" s="34" t="s">
        <v>77</v>
      </c>
      <c r="C356" s="19" t="s">
        <v>5</v>
      </c>
      <c r="D356" s="33">
        <v>89600</v>
      </c>
    </row>
    <row r="357" spans="1:4">
      <c r="A357" s="18" t="s">
        <v>42</v>
      </c>
      <c r="B357" s="34" t="s">
        <v>77</v>
      </c>
      <c r="C357" s="19" t="s">
        <v>10</v>
      </c>
      <c r="D357" s="33">
        <v>1185300</v>
      </c>
    </row>
    <row r="358" spans="1:4">
      <c r="A358" s="18" t="s">
        <v>42</v>
      </c>
      <c r="B358" s="34" t="s">
        <v>77</v>
      </c>
      <c r="C358" s="19" t="s">
        <v>8</v>
      </c>
      <c r="D358" s="33">
        <v>0</v>
      </c>
    </row>
    <row r="359" spans="1:4">
      <c r="A359" s="18" t="s">
        <v>42</v>
      </c>
      <c r="B359" s="34" t="s">
        <v>77</v>
      </c>
      <c r="C359" s="19" t="s">
        <v>9</v>
      </c>
      <c r="D359" s="33">
        <v>0</v>
      </c>
    </row>
    <row r="360" spans="1:4">
      <c r="A360" s="18" t="s">
        <v>42</v>
      </c>
      <c r="B360" s="34" t="s">
        <v>77</v>
      </c>
      <c r="C360" s="19" t="s">
        <v>7</v>
      </c>
      <c r="D360" s="33">
        <v>0</v>
      </c>
    </row>
    <row r="361" spans="1:4">
      <c r="A361" s="18" t="s">
        <v>42</v>
      </c>
      <c r="B361" s="34" t="s">
        <v>77</v>
      </c>
      <c r="C361" s="19" t="s">
        <v>12</v>
      </c>
      <c r="D361" s="33">
        <v>12300</v>
      </c>
    </row>
    <row r="362" spans="1:4">
      <c r="A362" s="18" t="s">
        <v>43</v>
      </c>
      <c r="B362" s="34" t="s">
        <v>76</v>
      </c>
      <c r="C362" s="19" t="s">
        <v>1</v>
      </c>
      <c r="D362" s="33">
        <v>134800</v>
      </c>
    </row>
    <row r="363" spans="1:4">
      <c r="A363" s="18" t="s">
        <v>43</v>
      </c>
      <c r="B363" s="34" t="s">
        <v>76</v>
      </c>
      <c r="C363" s="19" t="s">
        <v>3</v>
      </c>
      <c r="D363" s="33">
        <v>174200</v>
      </c>
    </row>
    <row r="364" spans="1:4">
      <c r="A364" s="18" t="s">
        <v>43</v>
      </c>
      <c r="B364" s="34" t="s">
        <v>76</v>
      </c>
      <c r="C364" s="19" t="s">
        <v>2</v>
      </c>
      <c r="D364" s="33">
        <v>40900</v>
      </c>
    </row>
    <row r="365" spans="1:4">
      <c r="A365" s="18" t="s">
        <v>43</v>
      </c>
      <c r="B365" s="34" t="s">
        <v>77</v>
      </c>
      <c r="C365" s="19" t="s">
        <v>4</v>
      </c>
      <c r="D365" s="33">
        <v>27800</v>
      </c>
    </row>
    <row r="366" spans="1:4">
      <c r="A366" s="18" t="s">
        <v>43</v>
      </c>
      <c r="B366" s="34" t="s">
        <v>77</v>
      </c>
      <c r="C366" s="19" t="s">
        <v>6</v>
      </c>
      <c r="D366" s="33">
        <v>300</v>
      </c>
    </row>
    <row r="367" spans="1:4">
      <c r="A367" s="18" t="s">
        <v>43</v>
      </c>
      <c r="B367" s="34" t="s">
        <v>77</v>
      </c>
      <c r="C367" s="19" t="s">
        <v>11</v>
      </c>
      <c r="D367" s="33">
        <v>84600</v>
      </c>
    </row>
    <row r="368" spans="1:4">
      <c r="A368" s="18" t="s">
        <v>43</v>
      </c>
      <c r="B368" s="34" t="s">
        <v>77</v>
      </c>
      <c r="C368" s="19" t="s">
        <v>5</v>
      </c>
      <c r="D368" s="33">
        <v>392100</v>
      </c>
    </row>
    <row r="369" spans="1:4">
      <c r="A369" s="18" t="s">
        <v>43</v>
      </c>
      <c r="B369" s="34" t="s">
        <v>77</v>
      </c>
      <c r="C369" s="19" t="s">
        <v>10</v>
      </c>
      <c r="D369" s="33">
        <v>6433000</v>
      </c>
    </row>
    <row r="370" spans="1:4">
      <c r="A370" s="18" t="s">
        <v>43</v>
      </c>
      <c r="B370" s="34" t="s">
        <v>77</v>
      </c>
      <c r="C370" s="19" t="s">
        <v>8</v>
      </c>
      <c r="D370" s="33">
        <v>0</v>
      </c>
    </row>
    <row r="371" spans="1:4">
      <c r="A371" s="18" t="s">
        <v>43</v>
      </c>
      <c r="B371" s="34" t="s">
        <v>77</v>
      </c>
      <c r="C371" s="19" t="s">
        <v>9</v>
      </c>
      <c r="D371" s="33">
        <v>0</v>
      </c>
    </row>
    <row r="372" spans="1:4">
      <c r="A372" s="18" t="s">
        <v>43</v>
      </c>
      <c r="B372" s="34" t="s">
        <v>77</v>
      </c>
      <c r="C372" s="19" t="s">
        <v>7</v>
      </c>
      <c r="D372" s="33">
        <v>0</v>
      </c>
    </row>
    <row r="373" spans="1:4">
      <c r="A373" s="18" t="s">
        <v>43</v>
      </c>
      <c r="B373" s="34" t="s">
        <v>77</v>
      </c>
      <c r="C373" s="19" t="s">
        <v>12</v>
      </c>
      <c r="D373" s="33">
        <v>36400</v>
      </c>
    </row>
    <row r="374" spans="1:4">
      <c r="A374" s="18" t="s">
        <v>44</v>
      </c>
      <c r="B374" s="34" t="s">
        <v>76</v>
      </c>
      <c r="C374" s="19" t="s">
        <v>1</v>
      </c>
      <c r="D374" s="33">
        <v>10300</v>
      </c>
    </row>
    <row r="375" spans="1:4">
      <c r="A375" s="18" t="s">
        <v>44</v>
      </c>
      <c r="B375" s="34" t="s">
        <v>76</v>
      </c>
      <c r="C375" s="19" t="s">
        <v>3</v>
      </c>
      <c r="D375" s="33">
        <v>44300</v>
      </c>
    </row>
    <row r="376" spans="1:4">
      <c r="A376" s="18" t="s">
        <v>44</v>
      </c>
      <c r="B376" s="34" t="s">
        <v>76</v>
      </c>
      <c r="C376" s="19" t="s">
        <v>2</v>
      </c>
      <c r="D376" s="33">
        <v>4900</v>
      </c>
    </row>
    <row r="377" spans="1:4">
      <c r="A377" s="18" t="s">
        <v>44</v>
      </c>
      <c r="B377" s="34" t="s">
        <v>77</v>
      </c>
      <c r="C377" s="19" t="s">
        <v>4</v>
      </c>
      <c r="D377" s="33">
        <v>32100</v>
      </c>
    </row>
    <row r="378" spans="1:4">
      <c r="A378" s="18" t="s">
        <v>44</v>
      </c>
      <c r="B378" s="34" t="s">
        <v>77</v>
      </c>
      <c r="C378" s="19" t="s">
        <v>6</v>
      </c>
      <c r="D378" s="33">
        <v>100</v>
      </c>
    </row>
    <row r="379" spans="1:4">
      <c r="A379" s="18" t="s">
        <v>44</v>
      </c>
      <c r="B379" s="34" t="s">
        <v>77</v>
      </c>
      <c r="C379" s="19" t="s">
        <v>11</v>
      </c>
      <c r="D379" s="33">
        <v>88500</v>
      </c>
    </row>
    <row r="380" spans="1:4">
      <c r="A380" s="18" t="s">
        <v>44</v>
      </c>
      <c r="B380" s="34" t="s">
        <v>77</v>
      </c>
      <c r="C380" s="19" t="s">
        <v>5</v>
      </c>
      <c r="D380" s="33">
        <v>151600</v>
      </c>
    </row>
    <row r="381" spans="1:4">
      <c r="A381" s="18" t="s">
        <v>44</v>
      </c>
      <c r="B381" s="34" t="s">
        <v>77</v>
      </c>
      <c r="C381" s="19" t="s">
        <v>10</v>
      </c>
      <c r="D381" s="33">
        <v>1597600</v>
      </c>
    </row>
    <row r="382" spans="1:4">
      <c r="A382" s="18" t="s">
        <v>44</v>
      </c>
      <c r="B382" s="34" t="s">
        <v>77</v>
      </c>
      <c r="C382" s="19" t="s">
        <v>8</v>
      </c>
      <c r="D382" s="33">
        <v>0</v>
      </c>
    </row>
    <row r="383" spans="1:4">
      <c r="A383" s="18" t="s">
        <v>44</v>
      </c>
      <c r="B383" s="34" t="s">
        <v>77</v>
      </c>
      <c r="C383" s="19" t="s">
        <v>9</v>
      </c>
      <c r="D383" s="33">
        <v>0</v>
      </c>
    </row>
    <row r="384" spans="1:4">
      <c r="A384" s="18" t="s">
        <v>44</v>
      </c>
      <c r="B384" s="34" t="s">
        <v>77</v>
      </c>
      <c r="C384" s="19" t="s">
        <v>7</v>
      </c>
      <c r="D384" s="33">
        <v>100</v>
      </c>
    </row>
    <row r="385" spans="1:4">
      <c r="A385" s="18" t="s">
        <v>44</v>
      </c>
      <c r="B385" s="34" t="s">
        <v>77</v>
      </c>
      <c r="C385" s="19" t="s">
        <v>12</v>
      </c>
      <c r="D385" s="33">
        <v>22900</v>
      </c>
    </row>
    <row r="386" spans="1:4">
      <c r="A386" s="18" t="s">
        <v>45</v>
      </c>
      <c r="B386" s="34" t="s">
        <v>76</v>
      </c>
      <c r="C386" s="19" t="s">
        <v>1</v>
      </c>
      <c r="D386" s="33">
        <v>131300</v>
      </c>
    </row>
    <row r="387" spans="1:4">
      <c r="A387" s="18" t="s">
        <v>45</v>
      </c>
      <c r="B387" s="34" t="s">
        <v>76</v>
      </c>
      <c r="C387" s="19" t="s">
        <v>3</v>
      </c>
      <c r="D387" s="33">
        <v>314000</v>
      </c>
    </row>
    <row r="388" spans="1:4">
      <c r="A388" s="18" t="s">
        <v>45</v>
      </c>
      <c r="B388" s="34" t="s">
        <v>76</v>
      </c>
      <c r="C388" s="19" t="s">
        <v>2</v>
      </c>
      <c r="D388" s="33">
        <v>92300</v>
      </c>
    </row>
    <row r="389" spans="1:4">
      <c r="A389" s="18" t="s">
        <v>45</v>
      </c>
      <c r="B389" s="34" t="s">
        <v>77</v>
      </c>
      <c r="C389" s="19" t="s">
        <v>4</v>
      </c>
      <c r="D389" s="33">
        <v>54300</v>
      </c>
    </row>
    <row r="390" spans="1:4">
      <c r="A390" s="18" t="s">
        <v>45</v>
      </c>
      <c r="B390" s="34" t="s">
        <v>77</v>
      </c>
      <c r="C390" s="19" t="s">
        <v>6</v>
      </c>
      <c r="D390" s="33">
        <v>400</v>
      </c>
    </row>
    <row r="391" spans="1:4">
      <c r="A391" s="18" t="s">
        <v>45</v>
      </c>
      <c r="B391" s="34" t="s">
        <v>77</v>
      </c>
      <c r="C391" s="19" t="s">
        <v>11</v>
      </c>
      <c r="D391" s="33">
        <v>150500</v>
      </c>
    </row>
    <row r="392" spans="1:4">
      <c r="A392" s="18" t="s">
        <v>45</v>
      </c>
      <c r="B392" s="34" t="s">
        <v>77</v>
      </c>
      <c r="C392" s="19" t="s">
        <v>5</v>
      </c>
      <c r="D392" s="33">
        <v>591100</v>
      </c>
    </row>
    <row r="393" spans="1:4">
      <c r="A393" s="18" t="s">
        <v>45</v>
      </c>
      <c r="B393" s="34" t="s">
        <v>77</v>
      </c>
      <c r="C393" s="19" t="s">
        <v>10</v>
      </c>
      <c r="D393" s="33">
        <v>9905500</v>
      </c>
    </row>
    <row r="394" spans="1:4">
      <c r="A394" s="18" t="s">
        <v>45</v>
      </c>
      <c r="B394" s="34" t="s">
        <v>77</v>
      </c>
      <c r="C394" s="19" t="s">
        <v>8</v>
      </c>
      <c r="D394" s="33">
        <v>0</v>
      </c>
    </row>
    <row r="395" spans="1:4">
      <c r="A395" s="18" t="s">
        <v>45</v>
      </c>
      <c r="B395" s="34" t="s">
        <v>77</v>
      </c>
      <c r="C395" s="19" t="s">
        <v>9</v>
      </c>
      <c r="D395" s="33">
        <v>0</v>
      </c>
    </row>
    <row r="396" spans="1:4">
      <c r="A396" s="18" t="s">
        <v>45</v>
      </c>
      <c r="B396" s="34" t="s">
        <v>77</v>
      </c>
      <c r="C396" s="19" t="s">
        <v>7</v>
      </c>
      <c r="D396" s="33">
        <v>100</v>
      </c>
    </row>
    <row r="397" spans="1:4">
      <c r="A397" s="18" t="s">
        <v>45</v>
      </c>
      <c r="B397" s="34" t="s">
        <v>77</v>
      </c>
      <c r="C397" s="19" t="s">
        <v>12</v>
      </c>
      <c r="D397" s="33">
        <v>79100</v>
      </c>
    </row>
    <row r="398" spans="1:4">
      <c r="A398" s="18" t="s">
        <v>46</v>
      </c>
      <c r="B398" s="34" t="s">
        <v>76</v>
      </c>
      <c r="C398" s="19" t="s">
        <v>1</v>
      </c>
      <c r="D398" s="33">
        <v>70200</v>
      </c>
    </row>
    <row r="399" spans="1:4">
      <c r="A399" s="18" t="s">
        <v>46</v>
      </c>
      <c r="B399" s="34" t="s">
        <v>76</v>
      </c>
      <c r="C399" s="19" t="s">
        <v>3</v>
      </c>
      <c r="D399" s="33">
        <v>210600</v>
      </c>
    </row>
    <row r="400" spans="1:4">
      <c r="A400" s="18" t="s">
        <v>46</v>
      </c>
      <c r="B400" s="34" t="s">
        <v>76</v>
      </c>
      <c r="C400" s="19" t="s">
        <v>2</v>
      </c>
      <c r="D400" s="33">
        <v>23700</v>
      </c>
    </row>
    <row r="401" spans="1:4">
      <c r="A401" s="18" t="s">
        <v>46</v>
      </c>
      <c r="B401" s="34" t="s">
        <v>77</v>
      </c>
      <c r="C401" s="19" t="s">
        <v>4</v>
      </c>
      <c r="D401" s="33">
        <v>80200</v>
      </c>
    </row>
    <row r="402" spans="1:4">
      <c r="A402" s="18" t="s">
        <v>46</v>
      </c>
      <c r="B402" s="34" t="s">
        <v>77</v>
      </c>
      <c r="C402" s="19" t="s">
        <v>6</v>
      </c>
      <c r="D402" s="33">
        <v>300</v>
      </c>
    </row>
    <row r="403" spans="1:4">
      <c r="A403" s="18" t="s">
        <v>46</v>
      </c>
      <c r="B403" s="34" t="s">
        <v>77</v>
      </c>
      <c r="C403" s="19" t="s">
        <v>11</v>
      </c>
      <c r="D403" s="33">
        <v>209700</v>
      </c>
    </row>
    <row r="404" spans="1:4">
      <c r="A404" s="18" t="s">
        <v>46</v>
      </c>
      <c r="B404" s="34" t="s">
        <v>77</v>
      </c>
      <c r="C404" s="19" t="s">
        <v>5</v>
      </c>
      <c r="D404" s="33">
        <v>655000</v>
      </c>
    </row>
    <row r="405" spans="1:4">
      <c r="A405" s="18" t="s">
        <v>46</v>
      </c>
      <c r="B405" s="34" t="s">
        <v>77</v>
      </c>
      <c r="C405" s="19" t="s">
        <v>10</v>
      </c>
      <c r="D405" s="33">
        <v>7764000</v>
      </c>
    </row>
    <row r="406" spans="1:4">
      <c r="A406" s="18" t="s">
        <v>46</v>
      </c>
      <c r="B406" s="34" t="s">
        <v>77</v>
      </c>
      <c r="C406" s="19" t="s">
        <v>8</v>
      </c>
      <c r="D406" s="33">
        <v>0</v>
      </c>
    </row>
    <row r="407" spans="1:4">
      <c r="A407" s="18" t="s">
        <v>46</v>
      </c>
      <c r="B407" s="34" t="s">
        <v>77</v>
      </c>
      <c r="C407" s="19" t="s">
        <v>9</v>
      </c>
      <c r="D407" s="33">
        <v>0</v>
      </c>
    </row>
    <row r="408" spans="1:4">
      <c r="A408" s="18" t="s">
        <v>46</v>
      </c>
      <c r="B408" s="34" t="s">
        <v>77</v>
      </c>
      <c r="C408" s="19" t="s">
        <v>7</v>
      </c>
      <c r="D408" s="33">
        <v>100</v>
      </c>
    </row>
    <row r="409" spans="1:4">
      <c r="A409" s="18" t="s">
        <v>46</v>
      </c>
      <c r="B409" s="34" t="s">
        <v>77</v>
      </c>
      <c r="C409" s="19" t="s">
        <v>12</v>
      </c>
      <c r="D409" s="33">
        <v>71700</v>
      </c>
    </row>
    <row r="410" spans="1:4">
      <c r="A410" s="18" t="s">
        <v>47</v>
      </c>
      <c r="B410" s="34" t="s">
        <v>76</v>
      </c>
      <c r="C410" s="19" t="s">
        <v>1</v>
      </c>
      <c r="D410" s="33">
        <v>1000</v>
      </c>
    </row>
    <row r="411" spans="1:4">
      <c r="A411" s="18" t="s">
        <v>47</v>
      </c>
      <c r="B411" s="34" t="s">
        <v>76</v>
      </c>
      <c r="C411" s="19" t="s">
        <v>3</v>
      </c>
      <c r="D411" s="33">
        <v>8200</v>
      </c>
    </row>
    <row r="412" spans="1:4">
      <c r="A412" s="18" t="s">
        <v>47</v>
      </c>
      <c r="B412" s="34" t="s">
        <v>76</v>
      </c>
      <c r="C412" s="19" t="s">
        <v>2</v>
      </c>
      <c r="D412" s="33">
        <v>800</v>
      </c>
    </row>
    <row r="413" spans="1:4">
      <c r="A413" s="18" t="s">
        <v>47</v>
      </c>
      <c r="B413" s="34" t="s">
        <v>77</v>
      </c>
      <c r="C413" s="19" t="s">
        <v>4</v>
      </c>
      <c r="D413" s="33">
        <v>20400</v>
      </c>
    </row>
    <row r="414" spans="1:4">
      <c r="A414" s="18" t="s">
        <v>47</v>
      </c>
      <c r="B414" s="34" t="s">
        <v>77</v>
      </c>
      <c r="C414" s="19" t="s">
        <v>6</v>
      </c>
      <c r="D414" s="33">
        <v>0</v>
      </c>
    </row>
    <row r="415" spans="1:4">
      <c r="A415" s="18" t="s">
        <v>47</v>
      </c>
      <c r="B415" s="34" t="s">
        <v>77</v>
      </c>
      <c r="C415" s="19" t="s">
        <v>11</v>
      </c>
      <c r="D415" s="33">
        <v>44600</v>
      </c>
    </row>
    <row r="416" spans="1:4">
      <c r="A416" s="18" t="s">
        <v>47</v>
      </c>
      <c r="B416" s="34" t="s">
        <v>77</v>
      </c>
      <c r="C416" s="19" t="s">
        <v>5</v>
      </c>
      <c r="D416" s="33">
        <v>89900</v>
      </c>
    </row>
    <row r="417" spans="1:4">
      <c r="A417" s="18" t="s">
        <v>47</v>
      </c>
      <c r="B417" s="34" t="s">
        <v>77</v>
      </c>
      <c r="C417" s="19" t="s">
        <v>10</v>
      </c>
      <c r="D417" s="33">
        <v>625300</v>
      </c>
    </row>
    <row r="418" spans="1:4">
      <c r="A418" s="18" t="s">
        <v>47</v>
      </c>
      <c r="B418" s="34" t="s">
        <v>77</v>
      </c>
      <c r="C418" s="19" t="s">
        <v>8</v>
      </c>
      <c r="D418" s="33">
        <v>0</v>
      </c>
    </row>
    <row r="419" spans="1:4">
      <c r="A419" s="18" t="s">
        <v>47</v>
      </c>
      <c r="B419" s="34" t="s">
        <v>77</v>
      </c>
      <c r="C419" s="19" t="s">
        <v>9</v>
      </c>
      <c r="D419" s="33">
        <v>0</v>
      </c>
    </row>
    <row r="420" spans="1:4">
      <c r="A420" s="18" t="s">
        <v>47</v>
      </c>
      <c r="B420" s="34" t="s">
        <v>77</v>
      </c>
      <c r="C420" s="19" t="s">
        <v>7</v>
      </c>
      <c r="D420" s="33">
        <v>0</v>
      </c>
    </row>
    <row r="421" spans="1:4">
      <c r="A421" s="18" t="s">
        <v>47</v>
      </c>
      <c r="B421" s="34" t="s">
        <v>77</v>
      </c>
      <c r="C421" s="19" t="s">
        <v>12</v>
      </c>
      <c r="D421" s="33">
        <v>7200</v>
      </c>
    </row>
    <row r="422" spans="1:4">
      <c r="A422" s="18" t="s">
        <v>48</v>
      </c>
      <c r="B422" s="34" t="s">
        <v>76</v>
      </c>
      <c r="C422" s="19" t="s">
        <v>1</v>
      </c>
      <c r="D422" s="33">
        <v>50400</v>
      </c>
    </row>
    <row r="423" spans="1:4">
      <c r="A423" s="18" t="s">
        <v>48</v>
      </c>
      <c r="B423" s="34" t="s">
        <v>76</v>
      </c>
      <c r="C423" s="19" t="s">
        <v>3</v>
      </c>
      <c r="D423" s="33">
        <v>199800</v>
      </c>
    </row>
    <row r="424" spans="1:4">
      <c r="A424" s="18" t="s">
        <v>48</v>
      </c>
      <c r="B424" s="34" t="s">
        <v>76</v>
      </c>
      <c r="C424" s="19" t="s">
        <v>2</v>
      </c>
      <c r="D424" s="33">
        <v>24000</v>
      </c>
    </row>
    <row r="425" spans="1:4">
      <c r="A425" s="18" t="s">
        <v>48</v>
      </c>
      <c r="B425" s="34" t="s">
        <v>77</v>
      </c>
      <c r="C425" s="19" t="s">
        <v>4</v>
      </c>
      <c r="D425" s="33">
        <v>70300</v>
      </c>
    </row>
    <row r="426" spans="1:4">
      <c r="A426" s="18" t="s">
        <v>48</v>
      </c>
      <c r="B426" s="34" t="s">
        <v>77</v>
      </c>
      <c r="C426" s="19" t="s">
        <v>6</v>
      </c>
      <c r="D426" s="33">
        <v>700</v>
      </c>
    </row>
    <row r="427" spans="1:4">
      <c r="A427" s="18" t="s">
        <v>48</v>
      </c>
      <c r="B427" s="34" t="s">
        <v>77</v>
      </c>
      <c r="C427" s="19" t="s">
        <v>11</v>
      </c>
      <c r="D427" s="33">
        <v>196200</v>
      </c>
    </row>
    <row r="428" spans="1:4">
      <c r="A428" s="18" t="s">
        <v>48</v>
      </c>
      <c r="B428" s="34" t="s">
        <v>77</v>
      </c>
      <c r="C428" s="19" t="s">
        <v>5</v>
      </c>
      <c r="D428" s="33">
        <v>833500</v>
      </c>
    </row>
    <row r="429" spans="1:4">
      <c r="A429" s="18" t="s">
        <v>48</v>
      </c>
      <c r="B429" s="34" t="s">
        <v>77</v>
      </c>
      <c r="C429" s="19" t="s">
        <v>10</v>
      </c>
      <c r="D429" s="33">
        <v>8881400</v>
      </c>
    </row>
    <row r="430" spans="1:4">
      <c r="A430" s="18" t="s">
        <v>48</v>
      </c>
      <c r="B430" s="34" t="s">
        <v>77</v>
      </c>
      <c r="C430" s="19" t="s">
        <v>8</v>
      </c>
      <c r="D430" s="33">
        <v>0</v>
      </c>
    </row>
    <row r="431" spans="1:4">
      <c r="A431" s="18" t="s">
        <v>48</v>
      </c>
      <c r="B431" s="34" t="s">
        <v>77</v>
      </c>
      <c r="C431" s="19" t="s">
        <v>9</v>
      </c>
      <c r="D431" s="33">
        <v>0</v>
      </c>
    </row>
    <row r="432" spans="1:4">
      <c r="A432" s="18" t="s">
        <v>48</v>
      </c>
      <c r="B432" s="34" t="s">
        <v>77</v>
      </c>
      <c r="C432" s="19" t="s">
        <v>7</v>
      </c>
      <c r="D432" s="33">
        <v>100</v>
      </c>
    </row>
    <row r="433" spans="1:4">
      <c r="A433" s="18" t="s">
        <v>48</v>
      </c>
      <c r="B433" s="34" t="s">
        <v>77</v>
      </c>
      <c r="C433" s="19" t="s">
        <v>12</v>
      </c>
      <c r="D433" s="33">
        <v>60900</v>
      </c>
    </row>
    <row r="434" spans="1:4">
      <c r="A434" s="18" t="s">
        <v>49</v>
      </c>
      <c r="B434" s="34" t="s">
        <v>76</v>
      </c>
      <c r="C434" s="19" t="s">
        <v>1</v>
      </c>
      <c r="D434" s="33">
        <v>22800</v>
      </c>
    </row>
    <row r="435" spans="1:4">
      <c r="A435" s="18" t="s">
        <v>49</v>
      </c>
      <c r="B435" s="34" t="s">
        <v>76</v>
      </c>
      <c r="C435" s="19" t="s">
        <v>3</v>
      </c>
      <c r="D435" s="33">
        <v>56400</v>
      </c>
    </row>
    <row r="436" spans="1:4">
      <c r="A436" s="18" t="s">
        <v>49</v>
      </c>
      <c r="B436" s="34" t="s">
        <v>76</v>
      </c>
      <c r="C436" s="19" t="s">
        <v>2</v>
      </c>
      <c r="D436" s="33">
        <v>33000</v>
      </c>
    </row>
    <row r="437" spans="1:4">
      <c r="A437" s="18" t="s">
        <v>49</v>
      </c>
      <c r="B437" s="34" t="s">
        <v>77</v>
      </c>
      <c r="C437" s="19" t="s">
        <v>4</v>
      </c>
      <c r="D437" s="33">
        <v>63100</v>
      </c>
    </row>
    <row r="438" spans="1:4">
      <c r="A438" s="18" t="s">
        <v>49</v>
      </c>
      <c r="B438" s="34" t="s">
        <v>77</v>
      </c>
      <c r="C438" s="19" t="s">
        <v>6</v>
      </c>
      <c r="D438" s="33">
        <v>1800</v>
      </c>
    </row>
    <row r="439" spans="1:4">
      <c r="A439" s="18" t="s">
        <v>49</v>
      </c>
      <c r="B439" s="34" t="s">
        <v>77</v>
      </c>
      <c r="C439" s="19" t="s">
        <v>11</v>
      </c>
      <c r="D439" s="33">
        <v>145700</v>
      </c>
    </row>
    <row r="440" spans="1:4">
      <c r="A440" s="18" t="s">
        <v>49</v>
      </c>
      <c r="B440" s="34" t="s">
        <v>77</v>
      </c>
      <c r="C440" s="19" t="s">
        <v>5</v>
      </c>
      <c r="D440" s="33">
        <v>352400</v>
      </c>
    </row>
    <row r="441" spans="1:4">
      <c r="A441" s="18" t="s">
        <v>49</v>
      </c>
      <c r="B441" s="34" t="s">
        <v>77</v>
      </c>
      <c r="C441" s="19" t="s">
        <v>10</v>
      </c>
      <c r="D441" s="33">
        <v>3567500</v>
      </c>
    </row>
    <row r="442" spans="1:4">
      <c r="A442" s="18" t="s">
        <v>49</v>
      </c>
      <c r="B442" s="34" t="s">
        <v>77</v>
      </c>
      <c r="C442" s="19" t="s">
        <v>8</v>
      </c>
      <c r="D442" s="33">
        <v>0</v>
      </c>
    </row>
    <row r="443" spans="1:4">
      <c r="A443" s="18" t="s">
        <v>49</v>
      </c>
      <c r="B443" s="34" t="s">
        <v>77</v>
      </c>
      <c r="C443" s="19" t="s">
        <v>9</v>
      </c>
      <c r="D443" s="33">
        <v>0</v>
      </c>
    </row>
    <row r="444" spans="1:4">
      <c r="A444" s="18" t="s">
        <v>49</v>
      </c>
      <c r="B444" s="34" t="s">
        <v>77</v>
      </c>
      <c r="C444" s="19" t="s">
        <v>7</v>
      </c>
      <c r="D444" s="33">
        <v>200</v>
      </c>
    </row>
    <row r="445" spans="1:4">
      <c r="A445" s="18" t="s">
        <v>49</v>
      </c>
      <c r="B445" s="34" t="s">
        <v>77</v>
      </c>
      <c r="C445" s="19" t="s">
        <v>12</v>
      </c>
      <c r="D445" s="33">
        <v>45000</v>
      </c>
    </row>
    <row r="446" spans="1:4">
      <c r="A446" s="18" t="s">
        <v>50</v>
      </c>
      <c r="B446" s="34" t="s">
        <v>76</v>
      </c>
      <c r="C446" s="19" t="s">
        <v>1</v>
      </c>
      <c r="D446" s="33">
        <v>64400</v>
      </c>
    </row>
    <row r="447" spans="1:4">
      <c r="A447" s="18" t="s">
        <v>50</v>
      </c>
      <c r="B447" s="34" t="s">
        <v>76</v>
      </c>
      <c r="C447" s="19" t="s">
        <v>3</v>
      </c>
      <c r="D447" s="33">
        <v>156900</v>
      </c>
    </row>
    <row r="448" spans="1:4">
      <c r="A448" s="18" t="s">
        <v>50</v>
      </c>
      <c r="B448" s="34" t="s">
        <v>76</v>
      </c>
      <c r="C448" s="19" t="s">
        <v>2</v>
      </c>
      <c r="D448" s="33">
        <v>28800</v>
      </c>
    </row>
    <row r="449" spans="1:4">
      <c r="A449" s="18" t="s">
        <v>50</v>
      </c>
      <c r="B449" s="34" t="s">
        <v>77</v>
      </c>
      <c r="C449" s="19" t="s">
        <v>4</v>
      </c>
      <c r="D449" s="33">
        <v>55500</v>
      </c>
    </row>
    <row r="450" spans="1:4">
      <c r="A450" s="18" t="s">
        <v>50</v>
      </c>
      <c r="B450" s="34" t="s">
        <v>77</v>
      </c>
      <c r="C450" s="19" t="s">
        <v>6</v>
      </c>
      <c r="D450" s="33">
        <v>100</v>
      </c>
    </row>
    <row r="451" spans="1:4">
      <c r="A451" s="18" t="s">
        <v>50</v>
      </c>
      <c r="B451" s="34" t="s">
        <v>77</v>
      </c>
      <c r="C451" s="19" t="s">
        <v>11</v>
      </c>
      <c r="D451" s="33">
        <v>217000</v>
      </c>
    </row>
    <row r="452" spans="1:4">
      <c r="A452" s="18" t="s">
        <v>50</v>
      </c>
      <c r="B452" s="34" t="s">
        <v>77</v>
      </c>
      <c r="C452" s="19" t="s">
        <v>5</v>
      </c>
      <c r="D452" s="33">
        <v>184600</v>
      </c>
    </row>
    <row r="453" spans="1:4">
      <c r="A453" s="18" t="s">
        <v>50</v>
      </c>
      <c r="B453" s="34" t="s">
        <v>77</v>
      </c>
      <c r="C453" s="19" t="s">
        <v>10</v>
      </c>
      <c r="D453" s="33">
        <v>3074300</v>
      </c>
    </row>
    <row r="454" spans="1:4">
      <c r="A454" s="18" t="s">
        <v>50</v>
      </c>
      <c r="B454" s="34" t="s">
        <v>77</v>
      </c>
      <c r="C454" s="19" t="s">
        <v>8</v>
      </c>
      <c r="D454" s="33">
        <v>0</v>
      </c>
    </row>
    <row r="455" spans="1:4">
      <c r="A455" s="18" t="s">
        <v>50</v>
      </c>
      <c r="B455" s="34" t="s">
        <v>77</v>
      </c>
      <c r="C455" s="19" t="s">
        <v>9</v>
      </c>
      <c r="D455" s="33">
        <v>0</v>
      </c>
    </row>
    <row r="456" spans="1:4">
      <c r="A456" s="18" t="s">
        <v>50</v>
      </c>
      <c r="B456" s="34" t="s">
        <v>77</v>
      </c>
      <c r="C456" s="19" t="s">
        <v>7</v>
      </c>
      <c r="D456" s="33">
        <v>100</v>
      </c>
    </row>
    <row r="457" spans="1:4">
      <c r="A457" s="18" t="s">
        <v>50</v>
      </c>
      <c r="B457" s="34" t="s">
        <v>77</v>
      </c>
      <c r="C457" s="19" t="s">
        <v>12</v>
      </c>
      <c r="D457" s="33">
        <v>51000</v>
      </c>
    </row>
    <row r="458" spans="1:4">
      <c r="A458" s="18" t="s">
        <v>51</v>
      </c>
      <c r="B458" s="34" t="s">
        <v>76</v>
      </c>
      <c r="C458" s="19" t="s">
        <v>1</v>
      </c>
      <c r="D458" s="33">
        <v>70200</v>
      </c>
    </row>
    <row r="459" spans="1:4">
      <c r="A459" s="18" t="s">
        <v>51</v>
      </c>
      <c r="B459" s="34" t="s">
        <v>76</v>
      </c>
      <c r="C459" s="19" t="s">
        <v>3</v>
      </c>
      <c r="D459" s="33">
        <v>245400</v>
      </c>
    </row>
    <row r="460" spans="1:4">
      <c r="A460" s="18" t="s">
        <v>51</v>
      </c>
      <c r="B460" s="34" t="s">
        <v>76</v>
      </c>
      <c r="C460" s="19" t="s">
        <v>2</v>
      </c>
      <c r="D460" s="33">
        <v>38900</v>
      </c>
    </row>
    <row r="461" spans="1:4">
      <c r="A461" s="18" t="s">
        <v>51</v>
      </c>
      <c r="B461" s="34" t="s">
        <v>77</v>
      </c>
      <c r="C461" s="19" t="s">
        <v>4</v>
      </c>
      <c r="D461" s="33">
        <v>73900</v>
      </c>
    </row>
    <row r="462" spans="1:4">
      <c r="A462" s="18" t="s">
        <v>51</v>
      </c>
      <c r="B462" s="34" t="s">
        <v>77</v>
      </c>
      <c r="C462" s="19" t="s">
        <v>6</v>
      </c>
      <c r="D462" s="33">
        <v>500</v>
      </c>
    </row>
    <row r="463" spans="1:4">
      <c r="A463" s="18" t="s">
        <v>51</v>
      </c>
      <c r="B463" s="34" t="s">
        <v>77</v>
      </c>
      <c r="C463" s="19" t="s">
        <v>11</v>
      </c>
      <c r="D463" s="33">
        <v>192100</v>
      </c>
    </row>
    <row r="464" spans="1:4">
      <c r="A464" s="18" t="s">
        <v>51</v>
      </c>
      <c r="B464" s="34" t="s">
        <v>77</v>
      </c>
      <c r="C464" s="19" t="s">
        <v>5</v>
      </c>
      <c r="D464" s="33">
        <v>661700</v>
      </c>
    </row>
    <row r="465" spans="1:4">
      <c r="A465" s="18" t="s">
        <v>51</v>
      </c>
      <c r="B465" s="34" t="s">
        <v>77</v>
      </c>
      <c r="C465" s="19" t="s">
        <v>10</v>
      </c>
      <c r="D465" s="33">
        <v>8886400</v>
      </c>
    </row>
    <row r="466" spans="1:4">
      <c r="A466" s="18" t="s">
        <v>51</v>
      </c>
      <c r="B466" s="34" t="s">
        <v>77</v>
      </c>
      <c r="C466" s="19" t="s">
        <v>8</v>
      </c>
      <c r="D466" s="33">
        <v>0</v>
      </c>
    </row>
    <row r="467" spans="1:4">
      <c r="A467" s="18" t="s">
        <v>51</v>
      </c>
      <c r="B467" s="34" t="s">
        <v>77</v>
      </c>
      <c r="C467" s="19" t="s">
        <v>9</v>
      </c>
      <c r="D467" s="33">
        <v>0</v>
      </c>
    </row>
    <row r="468" spans="1:4">
      <c r="A468" s="18" t="s">
        <v>51</v>
      </c>
      <c r="B468" s="34" t="s">
        <v>77</v>
      </c>
      <c r="C468" s="19" t="s">
        <v>7</v>
      </c>
      <c r="D468" s="33">
        <v>100</v>
      </c>
    </row>
    <row r="469" spans="1:4">
      <c r="A469" s="18" t="s">
        <v>51</v>
      </c>
      <c r="B469" s="34" t="s">
        <v>77</v>
      </c>
      <c r="C469" s="19" t="s">
        <v>12</v>
      </c>
      <c r="D469" s="33">
        <v>41800</v>
      </c>
    </row>
    <row r="470" spans="1:4">
      <c r="A470" s="18" t="s">
        <v>52</v>
      </c>
      <c r="B470" s="34" t="s">
        <v>76</v>
      </c>
      <c r="C470" s="19" t="s">
        <v>1</v>
      </c>
      <c r="D470" s="33">
        <v>6400</v>
      </c>
    </row>
    <row r="471" spans="1:4">
      <c r="A471" s="18" t="s">
        <v>52</v>
      </c>
      <c r="B471" s="34" t="s">
        <v>76</v>
      </c>
      <c r="C471" s="19" t="s">
        <v>3</v>
      </c>
      <c r="D471" s="33">
        <v>22100</v>
      </c>
    </row>
    <row r="472" spans="1:4">
      <c r="A472" s="18" t="s">
        <v>52</v>
      </c>
      <c r="B472" s="34" t="s">
        <v>76</v>
      </c>
      <c r="C472" s="19" t="s">
        <v>2</v>
      </c>
      <c r="D472" s="33">
        <v>5100</v>
      </c>
    </row>
    <row r="473" spans="1:4">
      <c r="A473" s="18" t="s">
        <v>52</v>
      </c>
      <c r="B473" s="34" t="s">
        <v>77</v>
      </c>
      <c r="C473" s="19" t="s">
        <v>4</v>
      </c>
      <c r="D473" s="33">
        <v>3100</v>
      </c>
    </row>
    <row r="474" spans="1:4">
      <c r="A474" s="18" t="s">
        <v>52</v>
      </c>
      <c r="B474" s="34" t="s">
        <v>77</v>
      </c>
      <c r="C474" s="19" t="s">
        <v>6</v>
      </c>
      <c r="D474" s="33">
        <v>0</v>
      </c>
    </row>
    <row r="475" spans="1:4">
      <c r="A475" s="18" t="s">
        <v>52</v>
      </c>
      <c r="B475" s="34" t="s">
        <v>77</v>
      </c>
      <c r="C475" s="19" t="s">
        <v>11</v>
      </c>
      <c r="D475" s="33">
        <v>11000</v>
      </c>
    </row>
    <row r="476" spans="1:4">
      <c r="A476" s="18" t="s">
        <v>52</v>
      </c>
      <c r="B476" s="34" t="s">
        <v>77</v>
      </c>
      <c r="C476" s="19" t="s">
        <v>5</v>
      </c>
      <c r="D476" s="33">
        <v>41900</v>
      </c>
    </row>
    <row r="477" spans="1:4">
      <c r="A477" s="18" t="s">
        <v>52</v>
      </c>
      <c r="B477" s="34" t="s">
        <v>77</v>
      </c>
      <c r="C477" s="19" t="s">
        <v>10</v>
      </c>
      <c r="D477" s="33">
        <v>782000</v>
      </c>
    </row>
    <row r="478" spans="1:4">
      <c r="A478" s="18" t="s">
        <v>52</v>
      </c>
      <c r="B478" s="34" t="s">
        <v>77</v>
      </c>
      <c r="C478" s="19" t="s">
        <v>8</v>
      </c>
      <c r="D478" s="33">
        <v>0</v>
      </c>
    </row>
    <row r="479" spans="1:4">
      <c r="A479" s="18" t="s">
        <v>52</v>
      </c>
      <c r="B479" s="34" t="s">
        <v>77</v>
      </c>
      <c r="C479" s="19" t="s">
        <v>9</v>
      </c>
      <c r="D479" s="33">
        <v>0</v>
      </c>
    </row>
    <row r="480" spans="1:4">
      <c r="A480" s="18" t="s">
        <v>52</v>
      </c>
      <c r="B480" s="34" t="s">
        <v>77</v>
      </c>
      <c r="C480" s="19" t="s">
        <v>7</v>
      </c>
      <c r="D480" s="33">
        <v>0</v>
      </c>
    </row>
    <row r="481" spans="1:4">
      <c r="A481" s="18" t="s">
        <v>52</v>
      </c>
      <c r="B481" s="34" t="s">
        <v>77</v>
      </c>
      <c r="C481" s="19" t="s">
        <v>12</v>
      </c>
      <c r="D481" s="33">
        <v>6000</v>
      </c>
    </row>
    <row r="482" spans="1:4">
      <c r="A482" s="18" t="s">
        <v>53</v>
      </c>
      <c r="B482" s="34" t="s">
        <v>76</v>
      </c>
      <c r="C482" s="19" t="s">
        <v>1</v>
      </c>
      <c r="D482" s="33">
        <v>20900</v>
      </c>
    </row>
    <row r="483" spans="1:4">
      <c r="A483" s="18" t="s">
        <v>53</v>
      </c>
      <c r="B483" s="34" t="s">
        <v>76</v>
      </c>
      <c r="C483" s="19" t="s">
        <v>3</v>
      </c>
      <c r="D483" s="33">
        <v>83100</v>
      </c>
    </row>
    <row r="484" spans="1:4">
      <c r="A484" s="18" t="s">
        <v>53</v>
      </c>
      <c r="B484" s="34" t="s">
        <v>76</v>
      </c>
      <c r="C484" s="19" t="s">
        <v>2</v>
      </c>
      <c r="D484" s="33">
        <v>9000</v>
      </c>
    </row>
    <row r="485" spans="1:4">
      <c r="A485" s="18" t="s">
        <v>53</v>
      </c>
      <c r="B485" s="34" t="s">
        <v>77</v>
      </c>
      <c r="C485" s="19" t="s">
        <v>4</v>
      </c>
      <c r="D485" s="33">
        <v>44600</v>
      </c>
    </row>
    <row r="486" spans="1:4">
      <c r="A486" s="18" t="s">
        <v>53</v>
      </c>
      <c r="B486" s="34" t="s">
        <v>77</v>
      </c>
      <c r="C486" s="19" t="s">
        <v>6</v>
      </c>
      <c r="D486" s="33">
        <v>100</v>
      </c>
    </row>
    <row r="487" spans="1:4">
      <c r="A487" s="18" t="s">
        <v>53</v>
      </c>
      <c r="B487" s="34" t="s">
        <v>77</v>
      </c>
      <c r="C487" s="19" t="s">
        <v>11</v>
      </c>
      <c r="D487" s="33">
        <v>110100</v>
      </c>
    </row>
    <row r="488" spans="1:4">
      <c r="A488" s="18" t="s">
        <v>53</v>
      </c>
      <c r="B488" s="34" t="s">
        <v>77</v>
      </c>
      <c r="C488" s="19" t="s">
        <v>5</v>
      </c>
      <c r="D488" s="33">
        <v>404600</v>
      </c>
    </row>
    <row r="489" spans="1:4">
      <c r="A489" s="18" t="s">
        <v>53</v>
      </c>
      <c r="B489" s="34" t="s">
        <v>77</v>
      </c>
      <c r="C489" s="19" t="s">
        <v>10</v>
      </c>
      <c r="D489" s="33">
        <v>4325000</v>
      </c>
    </row>
    <row r="490" spans="1:4">
      <c r="A490" s="18" t="s">
        <v>53</v>
      </c>
      <c r="B490" s="34" t="s">
        <v>77</v>
      </c>
      <c r="C490" s="19" t="s">
        <v>8</v>
      </c>
      <c r="D490" s="33">
        <v>0</v>
      </c>
    </row>
    <row r="491" spans="1:4">
      <c r="A491" s="18" t="s">
        <v>53</v>
      </c>
      <c r="B491" s="34" t="s">
        <v>77</v>
      </c>
      <c r="C491" s="19" t="s">
        <v>9</v>
      </c>
      <c r="D491" s="33">
        <v>0</v>
      </c>
    </row>
    <row r="492" spans="1:4">
      <c r="A492" s="18" t="s">
        <v>53</v>
      </c>
      <c r="B492" s="34" t="s">
        <v>77</v>
      </c>
      <c r="C492" s="19" t="s">
        <v>7</v>
      </c>
      <c r="D492" s="33">
        <v>100</v>
      </c>
    </row>
    <row r="493" spans="1:4">
      <c r="A493" s="18" t="s">
        <v>53</v>
      </c>
      <c r="B493" s="34" t="s">
        <v>77</v>
      </c>
      <c r="C493" s="19" t="s">
        <v>12</v>
      </c>
      <c r="D493" s="33">
        <v>44900</v>
      </c>
    </row>
    <row r="494" spans="1:4">
      <c r="A494" s="18" t="s">
        <v>54</v>
      </c>
      <c r="B494" s="34" t="s">
        <v>76</v>
      </c>
      <c r="C494" s="19" t="s">
        <v>1</v>
      </c>
      <c r="D494" s="33">
        <v>1700</v>
      </c>
    </row>
    <row r="495" spans="1:4">
      <c r="A495" s="18" t="s">
        <v>54</v>
      </c>
      <c r="B495" s="34" t="s">
        <v>76</v>
      </c>
      <c r="C495" s="19" t="s">
        <v>3</v>
      </c>
      <c r="D495" s="33">
        <v>11900</v>
      </c>
    </row>
    <row r="496" spans="1:4">
      <c r="A496" s="18" t="s">
        <v>54</v>
      </c>
      <c r="B496" s="34" t="s">
        <v>76</v>
      </c>
      <c r="C496" s="19" t="s">
        <v>2</v>
      </c>
      <c r="D496" s="33">
        <v>1300</v>
      </c>
    </row>
    <row r="497" spans="1:4">
      <c r="A497" s="18" t="s">
        <v>54</v>
      </c>
      <c r="B497" s="34" t="s">
        <v>77</v>
      </c>
      <c r="C497" s="19" t="s">
        <v>4</v>
      </c>
      <c r="D497" s="33">
        <v>21500</v>
      </c>
    </row>
    <row r="498" spans="1:4">
      <c r="A498" s="18" t="s">
        <v>54</v>
      </c>
      <c r="B498" s="34" t="s">
        <v>77</v>
      </c>
      <c r="C498" s="19" t="s">
        <v>6</v>
      </c>
      <c r="D498" s="33">
        <v>0</v>
      </c>
    </row>
    <row r="499" spans="1:4">
      <c r="A499" s="18" t="s">
        <v>54</v>
      </c>
      <c r="B499" s="34" t="s">
        <v>77</v>
      </c>
      <c r="C499" s="19" t="s">
        <v>11</v>
      </c>
      <c r="D499" s="33">
        <v>51200</v>
      </c>
    </row>
    <row r="500" spans="1:4">
      <c r="A500" s="18" t="s">
        <v>54</v>
      </c>
      <c r="B500" s="34" t="s">
        <v>77</v>
      </c>
      <c r="C500" s="19" t="s">
        <v>5</v>
      </c>
      <c r="D500" s="33">
        <v>98800</v>
      </c>
    </row>
    <row r="501" spans="1:4">
      <c r="A501" s="18" t="s">
        <v>54</v>
      </c>
      <c r="B501" s="34" t="s">
        <v>77</v>
      </c>
      <c r="C501" s="19" t="s">
        <v>10</v>
      </c>
      <c r="D501" s="33">
        <v>718300</v>
      </c>
    </row>
    <row r="502" spans="1:4">
      <c r="A502" s="18" t="s">
        <v>54</v>
      </c>
      <c r="B502" s="34" t="s">
        <v>77</v>
      </c>
      <c r="C502" s="19" t="s">
        <v>8</v>
      </c>
      <c r="D502" s="33">
        <v>0</v>
      </c>
    </row>
    <row r="503" spans="1:4">
      <c r="A503" s="18" t="s">
        <v>54</v>
      </c>
      <c r="B503" s="34" t="s">
        <v>77</v>
      </c>
      <c r="C503" s="19" t="s">
        <v>9</v>
      </c>
      <c r="D503" s="33">
        <v>0</v>
      </c>
    </row>
    <row r="504" spans="1:4">
      <c r="A504" s="18" t="s">
        <v>54</v>
      </c>
      <c r="B504" s="34" t="s">
        <v>77</v>
      </c>
      <c r="C504" s="19" t="s">
        <v>7</v>
      </c>
      <c r="D504" s="33">
        <v>0</v>
      </c>
    </row>
    <row r="505" spans="1:4">
      <c r="A505" s="18" t="s">
        <v>54</v>
      </c>
      <c r="B505" s="34" t="s">
        <v>77</v>
      </c>
      <c r="C505" s="19" t="s">
        <v>12</v>
      </c>
      <c r="D505" s="33">
        <v>13300</v>
      </c>
    </row>
    <row r="506" spans="1:4">
      <c r="A506" s="18" t="s">
        <v>55</v>
      </c>
      <c r="B506" s="34" t="s">
        <v>76</v>
      </c>
      <c r="C506" s="19" t="s">
        <v>1</v>
      </c>
      <c r="D506" s="33">
        <v>33200</v>
      </c>
    </row>
    <row r="507" spans="1:4">
      <c r="A507" s="18" t="s">
        <v>55</v>
      </c>
      <c r="B507" s="34" t="s">
        <v>76</v>
      </c>
      <c r="C507" s="19" t="s">
        <v>3</v>
      </c>
      <c r="D507" s="33">
        <v>113300</v>
      </c>
    </row>
    <row r="508" spans="1:4">
      <c r="A508" s="18" t="s">
        <v>55</v>
      </c>
      <c r="B508" s="34" t="s">
        <v>76</v>
      </c>
      <c r="C508" s="19" t="s">
        <v>2</v>
      </c>
      <c r="D508" s="33">
        <v>11000</v>
      </c>
    </row>
    <row r="509" spans="1:4">
      <c r="A509" s="18" t="s">
        <v>55</v>
      </c>
      <c r="B509" s="34" t="s">
        <v>77</v>
      </c>
      <c r="C509" s="19" t="s">
        <v>4</v>
      </c>
      <c r="D509" s="33">
        <v>53100</v>
      </c>
    </row>
    <row r="510" spans="1:4">
      <c r="A510" s="18" t="s">
        <v>55</v>
      </c>
      <c r="B510" s="34" t="s">
        <v>77</v>
      </c>
      <c r="C510" s="19" t="s">
        <v>6</v>
      </c>
      <c r="D510" s="33">
        <v>200</v>
      </c>
    </row>
    <row r="511" spans="1:4">
      <c r="A511" s="18" t="s">
        <v>55</v>
      </c>
      <c r="B511" s="34" t="s">
        <v>77</v>
      </c>
      <c r="C511" s="19" t="s">
        <v>11</v>
      </c>
      <c r="D511" s="33">
        <v>160700</v>
      </c>
    </row>
    <row r="512" spans="1:4">
      <c r="A512" s="18" t="s">
        <v>55</v>
      </c>
      <c r="B512" s="34" t="s">
        <v>77</v>
      </c>
      <c r="C512" s="19" t="s">
        <v>5</v>
      </c>
      <c r="D512" s="33">
        <v>509000</v>
      </c>
    </row>
    <row r="513" spans="1:4">
      <c r="A513" s="18" t="s">
        <v>55</v>
      </c>
      <c r="B513" s="34" t="s">
        <v>77</v>
      </c>
      <c r="C513" s="19" t="s">
        <v>10</v>
      </c>
      <c r="D513" s="33">
        <v>5620500</v>
      </c>
    </row>
    <row r="514" spans="1:4">
      <c r="A514" s="18" t="s">
        <v>55</v>
      </c>
      <c r="B514" s="34" t="s">
        <v>77</v>
      </c>
      <c r="C514" s="19" t="s">
        <v>8</v>
      </c>
      <c r="D514" s="33">
        <v>0</v>
      </c>
    </row>
    <row r="515" spans="1:4">
      <c r="A515" s="18" t="s">
        <v>55</v>
      </c>
      <c r="B515" s="34" t="s">
        <v>77</v>
      </c>
      <c r="C515" s="19" t="s">
        <v>9</v>
      </c>
      <c r="D515" s="33">
        <v>0</v>
      </c>
    </row>
    <row r="516" spans="1:4">
      <c r="A516" s="18" t="s">
        <v>55</v>
      </c>
      <c r="B516" s="34" t="s">
        <v>77</v>
      </c>
      <c r="C516" s="19" t="s">
        <v>7</v>
      </c>
      <c r="D516" s="33">
        <v>100</v>
      </c>
    </row>
    <row r="517" spans="1:4">
      <c r="A517" s="18" t="s">
        <v>55</v>
      </c>
      <c r="B517" s="34" t="s">
        <v>77</v>
      </c>
      <c r="C517" s="19" t="s">
        <v>12</v>
      </c>
      <c r="D517" s="33">
        <v>37700</v>
      </c>
    </row>
    <row r="518" spans="1:4">
      <c r="A518" s="18" t="s">
        <v>56</v>
      </c>
      <c r="B518" s="34" t="s">
        <v>76</v>
      </c>
      <c r="C518" s="19" t="s">
        <v>1</v>
      </c>
      <c r="D518" s="33">
        <v>230100</v>
      </c>
    </row>
    <row r="519" spans="1:4">
      <c r="A519" s="18" t="s">
        <v>56</v>
      </c>
      <c r="B519" s="34" t="s">
        <v>76</v>
      </c>
      <c r="C519" s="19" t="s">
        <v>3</v>
      </c>
      <c r="D519" s="33">
        <v>445100</v>
      </c>
    </row>
    <row r="520" spans="1:4">
      <c r="A520" s="18" t="s">
        <v>56</v>
      </c>
      <c r="B520" s="34" t="s">
        <v>76</v>
      </c>
      <c r="C520" s="19" t="s">
        <v>2</v>
      </c>
      <c r="D520" s="33">
        <v>55300</v>
      </c>
    </row>
    <row r="521" spans="1:4">
      <c r="A521" s="18" t="s">
        <v>56</v>
      </c>
      <c r="B521" s="34" t="s">
        <v>77</v>
      </c>
      <c r="C521" s="19" t="s">
        <v>4</v>
      </c>
      <c r="D521" s="33">
        <v>460700</v>
      </c>
    </row>
    <row r="522" spans="1:4">
      <c r="A522" s="18" t="s">
        <v>56</v>
      </c>
      <c r="B522" s="34" t="s">
        <v>77</v>
      </c>
      <c r="C522" s="19" t="s">
        <v>6</v>
      </c>
      <c r="D522" s="33">
        <v>1300</v>
      </c>
    </row>
    <row r="523" spans="1:4">
      <c r="A523" s="18" t="s">
        <v>56</v>
      </c>
      <c r="B523" s="34" t="s">
        <v>77</v>
      </c>
      <c r="C523" s="19" t="s">
        <v>11</v>
      </c>
      <c r="D523" s="33">
        <v>772800</v>
      </c>
    </row>
    <row r="524" spans="1:4">
      <c r="A524" s="18" t="s">
        <v>56</v>
      </c>
      <c r="B524" s="34" t="s">
        <v>77</v>
      </c>
      <c r="C524" s="19" t="s">
        <v>5</v>
      </c>
      <c r="D524" s="33">
        <v>2315400</v>
      </c>
    </row>
    <row r="525" spans="1:4">
      <c r="A525" s="18" t="s">
        <v>56</v>
      </c>
      <c r="B525" s="34" t="s">
        <v>77</v>
      </c>
      <c r="C525" s="19" t="s">
        <v>10</v>
      </c>
      <c r="D525" s="33">
        <v>21392800</v>
      </c>
    </row>
    <row r="526" spans="1:4">
      <c r="A526" s="18" t="s">
        <v>56</v>
      </c>
      <c r="B526" s="34" t="s">
        <v>77</v>
      </c>
      <c r="C526" s="19" t="s">
        <v>8</v>
      </c>
      <c r="D526" s="33">
        <v>0</v>
      </c>
    </row>
    <row r="527" spans="1:4">
      <c r="A527" s="18" t="s">
        <v>56</v>
      </c>
      <c r="B527" s="34" t="s">
        <v>77</v>
      </c>
      <c r="C527" s="19" t="s">
        <v>9</v>
      </c>
      <c r="D527" s="33">
        <v>0</v>
      </c>
    </row>
    <row r="528" spans="1:4">
      <c r="A528" s="18" t="s">
        <v>56</v>
      </c>
      <c r="B528" s="34" t="s">
        <v>77</v>
      </c>
      <c r="C528" s="19" t="s">
        <v>7</v>
      </c>
      <c r="D528" s="33">
        <v>1300</v>
      </c>
    </row>
    <row r="529" spans="1:4">
      <c r="A529" s="18" t="s">
        <v>56</v>
      </c>
      <c r="B529" s="34" t="s">
        <v>77</v>
      </c>
      <c r="C529" s="19" t="s">
        <v>12</v>
      </c>
      <c r="D529" s="33">
        <v>121800</v>
      </c>
    </row>
    <row r="530" spans="1:4">
      <c r="A530" s="18" t="s">
        <v>57</v>
      </c>
      <c r="B530" s="34" t="s">
        <v>76</v>
      </c>
      <c r="C530" s="19" t="s">
        <v>1</v>
      </c>
      <c r="D530" s="33">
        <v>40000</v>
      </c>
    </row>
    <row r="531" spans="1:4">
      <c r="A531" s="18" t="s">
        <v>57</v>
      </c>
      <c r="B531" s="34" t="s">
        <v>76</v>
      </c>
      <c r="C531" s="19" t="s">
        <v>3</v>
      </c>
      <c r="D531" s="33">
        <v>83200</v>
      </c>
    </row>
    <row r="532" spans="1:4">
      <c r="A532" s="18" t="s">
        <v>57</v>
      </c>
      <c r="B532" s="34" t="s">
        <v>76</v>
      </c>
      <c r="C532" s="19" t="s">
        <v>2</v>
      </c>
      <c r="D532" s="33">
        <v>13000</v>
      </c>
    </row>
    <row r="533" spans="1:4">
      <c r="A533" s="18" t="s">
        <v>57</v>
      </c>
      <c r="B533" s="34" t="s">
        <v>77</v>
      </c>
      <c r="C533" s="19" t="s">
        <v>4</v>
      </c>
      <c r="D533" s="33">
        <v>68500</v>
      </c>
    </row>
    <row r="534" spans="1:4">
      <c r="A534" s="18" t="s">
        <v>57</v>
      </c>
      <c r="B534" s="34" t="s">
        <v>77</v>
      </c>
      <c r="C534" s="19" t="s">
        <v>6</v>
      </c>
      <c r="D534" s="33">
        <v>2200</v>
      </c>
    </row>
    <row r="535" spans="1:4">
      <c r="A535" s="18" t="s">
        <v>57</v>
      </c>
      <c r="B535" s="34" t="s">
        <v>77</v>
      </c>
      <c r="C535" s="19" t="s">
        <v>11</v>
      </c>
      <c r="D535" s="33">
        <v>158000</v>
      </c>
    </row>
    <row r="536" spans="1:4">
      <c r="A536" s="18" t="s">
        <v>57</v>
      </c>
      <c r="B536" s="34" t="s">
        <v>77</v>
      </c>
      <c r="C536" s="19" t="s">
        <v>5</v>
      </c>
      <c r="D536" s="33">
        <v>185200</v>
      </c>
    </row>
    <row r="537" spans="1:4">
      <c r="A537" s="18" t="s">
        <v>57</v>
      </c>
      <c r="B537" s="34" t="s">
        <v>77</v>
      </c>
      <c r="C537" s="19" t="s">
        <v>10</v>
      </c>
      <c r="D537" s="33">
        <v>2499600</v>
      </c>
    </row>
    <row r="538" spans="1:4">
      <c r="A538" s="18" t="s">
        <v>57</v>
      </c>
      <c r="B538" s="34" t="s">
        <v>77</v>
      </c>
      <c r="C538" s="19" t="s">
        <v>8</v>
      </c>
      <c r="D538" s="33">
        <v>0</v>
      </c>
    </row>
    <row r="539" spans="1:4">
      <c r="A539" s="18" t="s">
        <v>57</v>
      </c>
      <c r="B539" s="34" t="s">
        <v>77</v>
      </c>
      <c r="C539" s="19" t="s">
        <v>9</v>
      </c>
      <c r="D539" s="33">
        <v>0</v>
      </c>
    </row>
    <row r="540" spans="1:4">
      <c r="A540" s="18" t="s">
        <v>57</v>
      </c>
      <c r="B540" s="34" t="s">
        <v>77</v>
      </c>
      <c r="C540" s="19" t="s">
        <v>7</v>
      </c>
      <c r="D540" s="33">
        <v>500</v>
      </c>
    </row>
    <row r="541" spans="1:4">
      <c r="A541" s="18" t="s">
        <v>57</v>
      </c>
      <c r="B541" s="34" t="s">
        <v>77</v>
      </c>
      <c r="C541" s="19" t="s">
        <v>12</v>
      </c>
      <c r="D541" s="33">
        <v>26000</v>
      </c>
    </row>
    <row r="542" spans="1:4">
      <c r="A542" s="18" t="s">
        <v>58</v>
      </c>
      <c r="B542" s="34" t="s">
        <v>76</v>
      </c>
      <c r="C542" s="19" t="s">
        <v>1</v>
      </c>
      <c r="D542" s="33">
        <v>7800</v>
      </c>
    </row>
    <row r="543" spans="1:4">
      <c r="A543" s="18" t="s">
        <v>58</v>
      </c>
      <c r="B543" s="34" t="s">
        <v>76</v>
      </c>
      <c r="C543" s="19" t="s">
        <v>3</v>
      </c>
      <c r="D543" s="33">
        <v>20300</v>
      </c>
    </row>
    <row r="544" spans="1:4">
      <c r="A544" s="18" t="s">
        <v>58</v>
      </c>
      <c r="B544" s="34" t="s">
        <v>76</v>
      </c>
      <c r="C544" s="19" t="s">
        <v>2</v>
      </c>
      <c r="D544" s="33">
        <v>5700</v>
      </c>
    </row>
    <row r="545" spans="1:4">
      <c r="A545" s="18" t="s">
        <v>58</v>
      </c>
      <c r="B545" s="34" t="s">
        <v>77</v>
      </c>
      <c r="C545" s="19" t="s">
        <v>4</v>
      </c>
      <c r="D545" s="33">
        <v>7000</v>
      </c>
    </row>
    <row r="546" spans="1:4">
      <c r="A546" s="18" t="s">
        <v>58</v>
      </c>
      <c r="B546" s="34" t="s">
        <v>77</v>
      </c>
      <c r="C546" s="19" t="s">
        <v>6</v>
      </c>
      <c r="D546" s="33">
        <v>0</v>
      </c>
    </row>
    <row r="547" spans="1:4">
      <c r="A547" s="18" t="s">
        <v>58</v>
      </c>
      <c r="B547" s="34" t="s">
        <v>77</v>
      </c>
      <c r="C547" s="19" t="s">
        <v>11</v>
      </c>
      <c r="D547" s="33">
        <v>14700</v>
      </c>
    </row>
    <row r="548" spans="1:4">
      <c r="A548" s="18" t="s">
        <v>58</v>
      </c>
      <c r="B548" s="34" t="s">
        <v>77</v>
      </c>
      <c r="C548" s="19" t="s">
        <v>5</v>
      </c>
      <c r="D548" s="33">
        <v>36600</v>
      </c>
    </row>
    <row r="549" spans="1:4">
      <c r="A549" s="18" t="s">
        <v>58</v>
      </c>
      <c r="B549" s="34" t="s">
        <v>77</v>
      </c>
      <c r="C549" s="19" t="s">
        <v>10</v>
      </c>
      <c r="D549" s="33">
        <v>496000</v>
      </c>
    </row>
    <row r="550" spans="1:4">
      <c r="A550" s="18" t="s">
        <v>58</v>
      </c>
      <c r="B550" s="34" t="s">
        <v>77</v>
      </c>
      <c r="C550" s="19" t="s">
        <v>8</v>
      </c>
      <c r="D550" s="33">
        <v>0</v>
      </c>
    </row>
    <row r="551" spans="1:4">
      <c r="A551" s="18" t="s">
        <v>58</v>
      </c>
      <c r="B551" s="34" t="s">
        <v>77</v>
      </c>
      <c r="C551" s="19" t="s">
        <v>9</v>
      </c>
      <c r="D551" s="33">
        <v>0</v>
      </c>
    </row>
    <row r="552" spans="1:4">
      <c r="A552" s="18" t="s">
        <v>58</v>
      </c>
      <c r="B552" s="34" t="s">
        <v>77</v>
      </c>
      <c r="C552" s="19" t="s">
        <v>7</v>
      </c>
      <c r="D552" s="33">
        <v>0</v>
      </c>
    </row>
    <row r="553" spans="1:4">
      <c r="A553" s="18" t="s">
        <v>58</v>
      </c>
      <c r="B553" s="34" t="s">
        <v>77</v>
      </c>
      <c r="C553" s="19" t="s">
        <v>12</v>
      </c>
      <c r="D553" s="33">
        <v>5000</v>
      </c>
    </row>
    <row r="554" spans="1:4">
      <c r="A554" s="18" t="s">
        <v>59</v>
      </c>
      <c r="B554" s="34" t="s">
        <v>76</v>
      </c>
      <c r="C554" s="19" t="s">
        <v>1</v>
      </c>
      <c r="D554" s="33">
        <v>84900</v>
      </c>
    </row>
    <row r="555" spans="1:4">
      <c r="A555" s="18" t="s">
        <v>59</v>
      </c>
      <c r="B555" s="34" t="s">
        <v>76</v>
      </c>
      <c r="C555" s="19" t="s">
        <v>3</v>
      </c>
      <c r="D555" s="33">
        <v>229400</v>
      </c>
    </row>
    <row r="556" spans="1:4">
      <c r="A556" s="18" t="s">
        <v>59</v>
      </c>
      <c r="B556" s="34" t="s">
        <v>76</v>
      </c>
      <c r="C556" s="19" t="s">
        <v>2</v>
      </c>
      <c r="D556" s="33">
        <v>26800</v>
      </c>
    </row>
    <row r="557" spans="1:4">
      <c r="A557" s="18" t="s">
        <v>59</v>
      </c>
      <c r="B557" s="34" t="s">
        <v>77</v>
      </c>
      <c r="C557" s="19" t="s">
        <v>4</v>
      </c>
      <c r="D557" s="33">
        <v>44300</v>
      </c>
    </row>
    <row r="558" spans="1:4">
      <c r="A558" s="18" t="s">
        <v>59</v>
      </c>
      <c r="B558" s="34" t="s">
        <v>77</v>
      </c>
      <c r="C558" s="19" t="s">
        <v>6</v>
      </c>
      <c r="D558" s="33">
        <v>300</v>
      </c>
    </row>
    <row r="559" spans="1:4">
      <c r="A559" s="18" t="s">
        <v>59</v>
      </c>
      <c r="B559" s="34" t="s">
        <v>77</v>
      </c>
      <c r="C559" s="19" t="s">
        <v>11</v>
      </c>
      <c r="D559" s="33">
        <v>152800</v>
      </c>
    </row>
    <row r="560" spans="1:4">
      <c r="A560" s="18" t="s">
        <v>59</v>
      </c>
      <c r="B560" s="34" t="s">
        <v>77</v>
      </c>
      <c r="C560" s="19" t="s">
        <v>5</v>
      </c>
      <c r="D560" s="33">
        <v>484800</v>
      </c>
    </row>
    <row r="561" spans="1:4">
      <c r="A561" s="18" t="s">
        <v>59</v>
      </c>
      <c r="B561" s="34" t="s">
        <v>77</v>
      </c>
      <c r="C561" s="19" t="s">
        <v>10</v>
      </c>
      <c r="D561" s="33">
        <v>6670000</v>
      </c>
    </row>
    <row r="562" spans="1:4">
      <c r="A562" s="18" t="s">
        <v>59</v>
      </c>
      <c r="B562" s="34" t="s">
        <v>77</v>
      </c>
      <c r="C562" s="19" t="s">
        <v>8</v>
      </c>
      <c r="D562" s="33">
        <v>0</v>
      </c>
    </row>
    <row r="563" spans="1:4">
      <c r="A563" s="18" t="s">
        <v>59</v>
      </c>
      <c r="B563" s="34" t="s">
        <v>77</v>
      </c>
      <c r="C563" s="19" t="s">
        <v>9</v>
      </c>
      <c r="D563" s="33">
        <v>0</v>
      </c>
    </row>
    <row r="564" spans="1:4">
      <c r="A564" s="18" t="s">
        <v>59</v>
      </c>
      <c r="B564" s="34" t="s">
        <v>77</v>
      </c>
      <c r="C564" s="19" t="s">
        <v>7</v>
      </c>
      <c r="D564" s="33">
        <v>0</v>
      </c>
    </row>
    <row r="565" spans="1:4">
      <c r="A565" s="18" t="s">
        <v>59</v>
      </c>
      <c r="B565" s="34" t="s">
        <v>77</v>
      </c>
      <c r="C565" s="19" t="s">
        <v>12</v>
      </c>
      <c r="D565" s="33">
        <v>30200</v>
      </c>
    </row>
    <row r="566" spans="1:4">
      <c r="A566" s="18" t="s">
        <v>60</v>
      </c>
      <c r="B566" s="34" t="s">
        <v>76</v>
      </c>
      <c r="C566" s="19" t="s">
        <v>1</v>
      </c>
      <c r="D566" s="33">
        <v>152100</v>
      </c>
    </row>
    <row r="567" spans="1:4">
      <c r="A567" s="18" t="s">
        <v>60</v>
      </c>
      <c r="B567" s="34" t="s">
        <v>76</v>
      </c>
      <c r="C567" s="19" t="s">
        <v>3</v>
      </c>
      <c r="D567" s="33">
        <v>307200</v>
      </c>
    </row>
    <row r="568" spans="1:4">
      <c r="A568" s="18" t="s">
        <v>60</v>
      </c>
      <c r="B568" s="34" t="s">
        <v>76</v>
      </c>
      <c r="C568" s="19" t="s">
        <v>2</v>
      </c>
      <c r="D568" s="33">
        <v>41200</v>
      </c>
    </row>
    <row r="569" spans="1:4">
      <c r="A569" s="18" t="s">
        <v>60</v>
      </c>
      <c r="B569" s="34" t="s">
        <v>77</v>
      </c>
      <c r="C569" s="19" t="s">
        <v>4</v>
      </c>
      <c r="D569" s="33">
        <v>73800</v>
      </c>
    </row>
    <row r="570" spans="1:4">
      <c r="A570" s="18" t="s">
        <v>60</v>
      </c>
      <c r="B570" s="34" t="s">
        <v>77</v>
      </c>
      <c r="C570" s="19" t="s">
        <v>6</v>
      </c>
      <c r="D570" s="33">
        <v>100</v>
      </c>
    </row>
    <row r="571" spans="1:4">
      <c r="A571" s="18" t="s">
        <v>60</v>
      </c>
      <c r="B571" s="34" t="s">
        <v>77</v>
      </c>
      <c r="C571" s="19" t="s">
        <v>11</v>
      </c>
      <c r="D571" s="33">
        <v>274200</v>
      </c>
    </row>
    <row r="572" spans="1:4">
      <c r="A572" s="18" t="s">
        <v>60</v>
      </c>
      <c r="B572" s="34" t="s">
        <v>77</v>
      </c>
      <c r="C572" s="19" t="s">
        <v>5</v>
      </c>
      <c r="D572" s="33">
        <v>337700</v>
      </c>
    </row>
    <row r="573" spans="1:4">
      <c r="A573" s="18" t="s">
        <v>60</v>
      </c>
      <c r="B573" s="34" t="s">
        <v>77</v>
      </c>
      <c r="C573" s="19" t="s">
        <v>10</v>
      </c>
      <c r="D573" s="33">
        <v>5583000</v>
      </c>
    </row>
    <row r="574" spans="1:4">
      <c r="A574" s="18" t="s">
        <v>60</v>
      </c>
      <c r="B574" s="34" t="s">
        <v>77</v>
      </c>
      <c r="C574" s="19" t="s">
        <v>8</v>
      </c>
      <c r="D574" s="33">
        <v>0</v>
      </c>
    </row>
    <row r="575" spans="1:4">
      <c r="A575" s="18" t="s">
        <v>60</v>
      </c>
      <c r="B575" s="34" t="s">
        <v>77</v>
      </c>
      <c r="C575" s="19" t="s">
        <v>9</v>
      </c>
      <c r="D575" s="33">
        <v>0</v>
      </c>
    </row>
    <row r="576" spans="1:4">
      <c r="A576" s="18" t="s">
        <v>60</v>
      </c>
      <c r="B576" s="34" t="s">
        <v>77</v>
      </c>
      <c r="C576" s="19" t="s">
        <v>7</v>
      </c>
      <c r="D576" s="33">
        <v>100</v>
      </c>
    </row>
    <row r="577" spans="1:4">
      <c r="A577" s="18" t="s">
        <v>60</v>
      </c>
      <c r="B577" s="34" t="s">
        <v>77</v>
      </c>
      <c r="C577" s="19" t="s">
        <v>12</v>
      </c>
      <c r="D577" s="33">
        <v>46700</v>
      </c>
    </row>
    <row r="578" spans="1:4">
      <c r="A578" s="18" t="s">
        <v>61</v>
      </c>
      <c r="B578" s="34" t="s">
        <v>76</v>
      </c>
      <c r="C578" s="19" t="s">
        <v>1</v>
      </c>
      <c r="D578" s="33">
        <v>2800</v>
      </c>
    </row>
    <row r="579" spans="1:4">
      <c r="A579" s="18" t="s">
        <v>61</v>
      </c>
      <c r="B579" s="34" t="s">
        <v>76</v>
      </c>
      <c r="C579" s="19" t="s">
        <v>3</v>
      </c>
      <c r="D579" s="33">
        <v>22400</v>
      </c>
    </row>
    <row r="580" spans="1:4">
      <c r="A580" s="18" t="s">
        <v>61</v>
      </c>
      <c r="B580" s="34" t="s">
        <v>76</v>
      </c>
      <c r="C580" s="19" t="s">
        <v>2</v>
      </c>
      <c r="D580" s="33">
        <v>1800</v>
      </c>
    </row>
    <row r="581" spans="1:4">
      <c r="A581" s="18" t="s">
        <v>61</v>
      </c>
      <c r="B581" s="34" t="s">
        <v>77</v>
      </c>
      <c r="C581" s="19" t="s">
        <v>4</v>
      </c>
      <c r="D581" s="33">
        <v>17300</v>
      </c>
    </row>
    <row r="582" spans="1:4">
      <c r="A582" s="18" t="s">
        <v>61</v>
      </c>
      <c r="B582" s="34" t="s">
        <v>77</v>
      </c>
      <c r="C582" s="19" t="s">
        <v>6</v>
      </c>
      <c r="D582" s="33">
        <v>100</v>
      </c>
    </row>
    <row r="583" spans="1:4">
      <c r="A583" s="18" t="s">
        <v>61</v>
      </c>
      <c r="B583" s="34" t="s">
        <v>77</v>
      </c>
      <c r="C583" s="19" t="s">
        <v>11</v>
      </c>
      <c r="D583" s="33">
        <v>46400</v>
      </c>
    </row>
    <row r="584" spans="1:4">
      <c r="A584" s="18" t="s">
        <v>61</v>
      </c>
      <c r="B584" s="34" t="s">
        <v>77</v>
      </c>
      <c r="C584" s="19" t="s">
        <v>5</v>
      </c>
      <c r="D584" s="33">
        <v>123400</v>
      </c>
    </row>
    <row r="585" spans="1:4">
      <c r="A585" s="18" t="s">
        <v>61</v>
      </c>
      <c r="B585" s="34" t="s">
        <v>77</v>
      </c>
      <c r="C585" s="19" t="s">
        <v>10</v>
      </c>
      <c r="D585" s="33">
        <v>1281500</v>
      </c>
    </row>
    <row r="586" spans="1:4">
      <c r="A586" s="18" t="s">
        <v>61</v>
      </c>
      <c r="B586" s="34" t="s">
        <v>77</v>
      </c>
      <c r="C586" s="19" t="s">
        <v>8</v>
      </c>
      <c r="D586" s="33">
        <v>0</v>
      </c>
    </row>
    <row r="587" spans="1:4">
      <c r="A587" s="18" t="s">
        <v>61</v>
      </c>
      <c r="B587" s="34" t="s">
        <v>77</v>
      </c>
      <c r="C587" s="19" t="s">
        <v>9</v>
      </c>
      <c r="D587" s="33">
        <v>0</v>
      </c>
    </row>
    <row r="588" spans="1:4">
      <c r="A588" s="18" t="s">
        <v>61</v>
      </c>
      <c r="B588" s="34" t="s">
        <v>77</v>
      </c>
      <c r="C588" s="19" t="s">
        <v>7</v>
      </c>
      <c r="D588" s="33">
        <v>0</v>
      </c>
    </row>
    <row r="589" spans="1:4">
      <c r="A589" s="18" t="s">
        <v>61</v>
      </c>
      <c r="B589" s="34" t="s">
        <v>77</v>
      </c>
      <c r="C589" s="19" t="s">
        <v>12</v>
      </c>
      <c r="D589" s="33">
        <v>15200</v>
      </c>
    </row>
    <row r="590" spans="1:4">
      <c r="A590" s="18" t="s">
        <v>62</v>
      </c>
      <c r="B590" s="34" t="s">
        <v>76</v>
      </c>
      <c r="C590" s="19" t="s">
        <v>1</v>
      </c>
      <c r="D590" s="33">
        <v>24900</v>
      </c>
    </row>
    <row r="591" spans="1:4">
      <c r="A591" s="18" t="s">
        <v>62</v>
      </c>
      <c r="B591" s="34" t="s">
        <v>76</v>
      </c>
      <c r="C591" s="19" t="s">
        <v>3</v>
      </c>
      <c r="D591" s="33">
        <v>123600</v>
      </c>
    </row>
    <row r="592" spans="1:4">
      <c r="A592" s="18" t="s">
        <v>62</v>
      </c>
      <c r="B592" s="34" t="s">
        <v>76</v>
      </c>
      <c r="C592" s="19" t="s">
        <v>2</v>
      </c>
      <c r="D592" s="33">
        <v>12500</v>
      </c>
    </row>
    <row r="593" spans="1:4">
      <c r="A593" s="18" t="s">
        <v>62</v>
      </c>
      <c r="B593" s="34" t="s">
        <v>77</v>
      </c>
      <c r="C593" s="19" t="s">
        <v>4</v>
      </c>
      <c r="D593" s="33">
        <v>52900</v>
      </c>
    </row>
    <row r="594" spans="1:4">
      <c r="A594" s="18" t="s">
        <v>62</v>
      </c>
      <c r="B594" s="34" t="s">
        <v>77</v>
      </c>
      <c r="C594" s="19" t="s">
        <v>6</v>
      </c>
      <c r="D594" s="33">
        <v>300</v>
      </c>
    </row>
    <row r="595" spans="1:4">
      <c r="A595" s="18" t="s">
        <v>62</v>
      </c>
      <c r="B595" s="34" t="s">
        <v>77</v>
      </c>
      <c r="C595" s="19" t="s">
        <v>11</v>
      </c>
      <c r="D595" s="33">
        <v>147500</v>
      </c>
    </row>
    <row r="596" spans="1:4">
      <c r="A596" s="18" t="s">
        <v>62</v>
      </c>
      <c r="B596" s="34" t="s">
        <v>77</v>
      </c>
      <c r="C596" s="19" t="s">
        <v>5</v>
      </c>
      <c r="D596" s="33">
        <v>536200</v>
      </c>
    </row>
    <row r="597" spans="1:4">
      <c r="A597" s="18" t="s">
        <v>62</v>
      </c>
      <c r="B597" s="34" t="s">
        <v>77</v>
      </c>
      <c r="C597" s="19" t="s">
        <v>10</v>
      </c>
      <c r="D597" s="33">
        <v>4604700</v>
      </c>
    </row>
    <row r="598" spans="1:4">
      <c r="A598" s="18" t="s">
        <v>62</v>
      </c>
      <c r="B598" s="34" t="s">
        <v>77</v>
      </c>
      <c r="C598" s="19" t="s">
        <v>8</v>
      </c>
      <c r="D598" s="33">
        <v>0</v>
      </c>
    </row>
    <row r="599" spans="1:4">
      <c r="A599" s="18" t="s">
        <v>62</v>
      </c>
      <c r="B599" s="34" t="s">
        <v>77</v>
      </c>
      <c r="C599" s="19" t="s">
        <v>9</v>
      </c>
      <c r="D599" s="33">
        <v>0</v>
      </c>
    </row>
    <row r="600" spans="1:4">
      <c r="A600" s="18" t="s">
        <v>62</v>
      </c>
      <c r="B600" s="34" t="s">
        <v>77</v>
      </c>
      <c r="C600" s="19" t="s">
        <v>7</v>
      </c>
      <c r="D600" s="33">
        <v>0</v>
      </c>
    </row>
    <row r="601" spans="1:4">
      <c r="A601" s="18" t="s">
        <v>62</v>
      </c>
      <c r="B601" s="34" t="s">
        <v>77</v>
      </c>
      <c r="C601" s="19" t="s">
        <v>12</v>
      </c>
      <c r="D601" s="33">
        <v>26400</v>
      </c>
    </row>
    <row r="602" spans="1:4">
      <c r="A602" s="18" t="s">
        <v>63</v>
      </c>
      <c r="B602" s="34" t="s">
        <v>76</v>
      </c>
      <c r="C602" s="19" t="s">
        <v>1</v>
      </c>
      <c r="D602" s="33">
        <v>1100</v>
      </c>
    </row>
    <row r="603" spans="1:4">
      <c r="A603" s="18" t="s">
        <v>63</v>
      </c>
      <c r="B603" s="34" t="s">
        <v>76</v>
      </c>
      <c r="C603" s="19" t="s">
        <v>3</v>
      </c>
      <c r="D603" s="33">
        <v>8400</v>
      </c>
    </row>
    <row r="604" spans="1:4">
      <c r="A604" s="18" t="s">
        <v>63</v>
      </c>
      <c r="B604" s="34" t="s">
        <v>76</v>
      </c>
      <c r="C604" s="19" t="s">
        <v>2</v>
      </c>
      <c r="D604" s="33">
        <v>800</v>
      </c>
    </row>
    <row r="605" spans="1:4">
      <c r="A605" s="18" t="s">
        <v>63</v>
      </c>
      <c r="B605" s="34" t="s">
        <v>77</v>
      </c>
      <c r="C605" s="19" t="s">
        <v>4</v>
      </c>
      <c r="D605" s="33">
        <v>21200</v>
      </c>
    </row>
    <row r="606" spans="1:4">
      <c r="A606" s="18" t="s">
        <v>63</v>
      </c>
      <c r="B606" s="34" t="s">
        <v>77</v>
      </c>
      <c r="C606" s="19" t="s">
        <v>6</v>
      </c>
      <c r="D606" s="33">
        <v>0</v>
      </c>
    </row>
    <row r="607" spans="1:4">
      <c r="A607" s="18" t="s">
        <v>63</v>
      </c>
      <c r="B607" s="34" t="s">
        <v>77</v>
      </c>
      <c r="C607" s="19" t="s">
        <v>11</v>
      </c>
      <c r="D607" s="33">
        <v>60900</v>
      </c>
    </row>
    <row r="608" spans="1:4">
      <c r="A608" s="18" t="s">
        <v>63</v>
      </c>
      <c r="B608" s="34" t="s">
        <v>77</v>
      </c>
      <c r="C608" s="19" t="s">
        <v>5</v>
      </c>
      <c r="D608" s="33">
        <v>57700</v>
      </c>
    </row>
    <row r="609" spans="1:4">
      <c r="A609" s="18" t="s">
        <v>63</v>
      </c>
      <c r="B609" s="34" t="s">
        <v>77</v>
      </c>
      <c r="C609" s="19" t="s">
        <v>10</v>
      </c>
      <c r="D609" s="33">
        <v>489100</v>
      </c>
    </row>
    <row r="610" spans="1:4">
      <c r="A610" s="18" t="s">
        <v>63</v>
      </c>
      <c r="B610" s="34" t="s">
        <v>77</v>
      </c>
      <c r="C610" s="19" t="s">
        <v>8</v>
      </c>
      <c r="D610" s="33">
        <v>0</v>
      </c>
    </row>
    <row r="611" spans="1:4">
      <c r="A611" s="18" t="s">
        <v>63</v>
      </c>
      <c r="B611" s="34" t="s">
        <v>77</v>
      </c>
      <c r="C611" s="19" t="s">
        <v>9</v>
      </c>
      <c r="D611" s="33">
        <v>0</v>
      </c>
    </row>
    <row r="612" spans="1:4">
      <c r="A612" s="18" t="s">
        <v>63</v>
      </c>
      <c r="B612" s="34" t="s">
        <v>77</v>
      </c>
      <c r="C612" s="19" t="s">
        <v>7</v>
      </c>
      <c r="D612" s="33">
        <v>0</v>
      </c>
    </row>
    <row r="613" spans="1:4">
      <c r="A613" s="20" t="s">
        <v>63</v>
      </c>
      <c r="B613" s="36" t="s">
        <v>77</v>
      </c>
      <c r="C613" s="21" t="s">
        <v>12</v>
      </c>
      <c r="D613" s="35">
        <v>13700</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7F875-268A-402C-9DC3-5F4CF59A9DBB}">
  <dimension ref="A1:O55"/>
  <sheetViews>
    <sheetView workbookViewId="0">
      <pane ySplit="1" topLeftCell="A2" activePane="bottomLeft" state="frozen"/>
      <selection pane="bottomLeft" activeCell="D7" sqref="D7"/>
    </sheetView>
  </sheetViews>
  <sheetFormatPr defaultRowHeight="14.5"/>
  <cols>
    <col min="1" max="1" width="15.83203125" style="1" bestFit="1" customWidth="1"/>
    <col min="2" max="2" width="9.58203125" style="1" customWidth="1"/>
    <col min="3" max="3" width="9.25" style="1" customWidth="1"/>
    <col min="4" max="4" width="9.1640625" style="1" customWidth="1"/>
    <col min="5" max="5" width="8.25" style="1" customWidth="1"/>
    <col min="6" max="6" width="11.33203125" style="1" customWidth="1"/>
    <col min="7" max="7" width="11" style="1" customWidth="1"/>
    <col min="8" max="8" width="7.25" style="1" customWidth="1"/>
    <col min="9" max="9" width="8.9140625" style="1" customWidth="1"/>
    <col min="10" max="10" width="8.25" style="1" customWidth="1"/>
    <col min="11" max="11" width="10.4140625" style="1" customWidth="1"/>
    <col min="12" max="12" width="8.58203125" style="1" customWidth="1"/>
    <col min="13" max="13" width="8.6640625" style="1" customWidth="1"/>
    <col min="14" max="16384" width="8.6640625" style="1"/>
  </cols>
  <sheetData>
    <row r="1" spans="1:15" ht="58">
      <c r="A1" s="12" t="s">
        <v>0</v>
      </c>
      <c r="B1" s="28" t="s">
        <v>1</v>
      </c>
      <c r="C1" s="28" t="s">
        <v>2</v>
      </c>
      <c r="D1" s="28" t="s">
        <v>3</v>
      </c>
      <c r="E1" s="13" t="s">
        <v>4</v>
      </c>
      <c r="F1" s="13" t="s">
        <v>5</v>
      </c>
      <c r="G1" s="13" t="s">
        <v>6</v>
      </c>
      <c r="H1" s="13" t="s">
        <v>7</v>
      </c>
      <c r="I1" s="13" t="s">
        <v>8</v>
      </c>
      <c r="J1" s="13" t="s">
        <v>9</v>
      </c>
      <c r="K1" s="13" t="s">
        <v>10</v>
      </c>
      <c r="L1" s="13" t="s">
        <v>11</v>
      </c>
      <c r="M1" s="14" t="s">
        <v>12</v>
      </c>
    </row>
    <row r="2" spans="1:15">
      <c r="A2" s="4" t="s">
        <v>13</v>
      </c>
      <c r="B2" s="3">
        <v>13000</v>
      </c>
      <c r="C2" s="3">
        <v>5800</v>
      </c>
      <c r="D2" s="3">
        <v>63300</v>
      </c>
      <c r="E2" s="3">
        <v>54200</v>
      </c>
      <c r="F2" s="3">
        <v>441200</v>
      </c>
      <c r="G2" s="2">
        <v>100</v>
      </c>
      <c r="H2" s="2">
        <v>100</v>
      </c>
      <c r="I2" s="2">
        <v>0</v>
      </c>
      <c r="J2" s="2">
        <v>0</v>
      </c>
      <c r="K2" s="3">
        <v>4102200</v>
      </c>
      <c r="L2" s="3">
        <v>127000</v>
      </c>
      <c r="M2" s="5">
        <v>29000</v>
      </c>
      <c r="O2" s="44"/>
    </row>
    <row r="3" spans="1:15">
      <c r="A3" s="4" t="s">
        <v>14</v>
      </c>
      <c r="B3" s="3">
        <v>2700</v>
      </c>
      <c r="C3" s="2">
        <v>900</v>
      </c>
      <c r="D3" s="3">
        <v>10600</v>
      </c>
      <c r="E3" s="3">
        <v>9600</v>
      </c>
      <c r="F3" s="3">
        <v>46800</v>
      </c>
      <c r="G3" s="2">
        <v>0</v>
      </c>
      <c r="H3" s="2">
        <v>0</v>
      </c>
      <c r="I3" s="2">
        <v>0</v>
      </c>
      <c r="J3" s="2">
        <v>0</v>
      </c>
      <c r="K3" s="3">
        <v>454300</v>
      </c>
      <c r="L3" s="3">
        <v>29800</v>
      </c>
      <c r="M3" s="5">
        <v>5100</v>
      </c>
      <c r="O3" s="44"/>
    </row>
    <row r="4" spans="1:15">
      <c r="A4" s="4" t="s">
        <v>15</v>
      </c>
      <c r="B4" s="3">
        <v>89800</v>
      </c>
      <c r="C4" s="3">
        <v>25600</v>
      </c>
      <c r="D4" s="3">
        <v>175700</v>
      </c>
      <c r="E4" s="3">
        <v>68600</v>
      </c>
      <c r="F4" s="3">
        <v>437100</v>
      </c>
      <c r="G4" s="2">
        <v>600</v>
      </c>
      <c r="H4" s="2">
        <v>700</v>
      </c>
      <c r="I4" s="2">
        <v>0</v>
      </c>
      <c r="J4" s="2">
        <v>0</v>
      </c>
      <c r="K4" s="3">
        <v>5469000</v>
      </c>
      <c r="L4" s="3">
        <v>197700</v>
      </c>
      <c r="M4" s="5">
        <v>64200</v>
      </c>
      <c r="O4" s="44"/>
    </row>
    <row r="5" spans="1:15">
      <c r="A5" s="4" t="s">
        <v>16</v>
      </c>
      <c r="B5" s="3">
        <v>7100</v>
      </c>
      <c r="C5" s="3">
        <v>3200</v>
      </c>
      <c r="D5" s="3">
        <v>37000</v>
      </c>
      <c r="E5" s="3">
        <v>37000</v>
      </c>
      <c r="F5" s="3">
        <v>276700</v>
      </c>
      <c r="G5" s="2">
        <v>200</v>
      </c>
      <c r="H5" s="2">
        <v>0</v>
      </c>
      <c r="I5" s="2">
        <v>0</v>
      </c>
      <c r="J5" s="2">
        <v>0</v>
      </c>
      <c r="K5" s="3">
        <v>2246100</v>
      </c>
      <c r="L5" s="3">
        <v>90700</v>
      </c>
      <c r="M5" s="5">
        <v>10300</v>
      </c>
      <c r="O5" s="44"/>
    </row>
    <row r="6" spans="1:15">
      <c r="A6" s="4" t="s">
        <v>17</v>
      </c>
      <c r="B6" s="3">
        <v>1256600</v>
      </c>
      <c r="C6" s="3">
        <v>410700</v>
      </c>
      <c r="D6" s="3">
        <v>1703200</v>
      </c>
      <c r="E6" s="3">
        <v>201600</v>
      </c>
      <c r="F6" s="3">
        <v>1314600</v>
      </c>
      <c r="G6" s="3">
        <v>10100</v>
      </c>
      <c r="H6" s="3">
        <v>1500</v>
      </c>
      <c r="I6" s="3">
        <v>16900</v>
      </c>
      <c r="J6" s="2">
        <v>0</v>
      </c>
      <c r="K6" s="3">
        <v>31191900</v>
      </c>
      <c r="L6" s="3">
        <v>735300</v>
      </c>
      <c r="M6" s="5">
        <v>7900</v>
      </c>
      <c r="O6" s="44"/>
    </row>
    <row r="7" spans="1:15">
      <c r="A7" s="4" t="s">
        <v>18</v>
      </c>
      <c r="B7" s="3">
        <v>90100</v>
      </c>
      <c r="C7" s="3">
        <v>37500</v>
      </c>
      <c r="D7" s="3">
        <v>152700</v>
      </c>
      <c r="E7" s="3">
        <v>68100</v>
      </c>
      <c r="F7" s="3">
        <v>334300</v>
      </c>
      <c r="G7" s="2">
        <v>300</v>
      </c>
      <c r="H7" s="2">
        <v>100</v>
      </c>
      <c r="I7" s="2">
        <v>0</v>
      </c>
      <c r="J7" s="2">
        <v>0</v>
      </c>
      <c r="K7" s="3">
        <v>4508800</v>
      </c>
      <c r="L7" s="3">
        <v>203400</v>
      </c>
      <c r="M7" s="5">
        <v>46500</v>
      </c>
      <c r="O7" s="44"/>
    </row>
    <row r="8" spans="1:15">
      <c r="A8" s="4" t="s">
        <v>19</v>
      </c>
      <c r="B8" s="3">
        <v>31600</v>
      </c>
      <c r="C8" s="3">
        <v>18400</v>
      </c>
      <c r="D8" s="3">
        <v>75300</v>
      </c>
      <c r="E8" s="3">
        <v>10900</v>
      </c>
      <c r="F8" s="3">
        <v>133600</v>
      </c>
      <c r="G8" s="2">
        <v>100</v>
      </c>
      <c r="H8" s="2">
        <v>0</v>
      </c>
      <c r="I8" s="2">
        <v>0</v>
      </c>
      <c r="J8" s="2">
        <v>0</v>
      </c>
      <c r="K8" s="3">
        <v>2612600</v>
      </c>
      <c r="L8" s="3">
        <v>42300</v>
      </c>
      <c r="M8" s="5">
        <v>20900</v>
      </c>
      <c r="O8" s="44"/>
    </row>
    <row r="9" spans="1:15">
      <c r="A9" s="4" t="s">
        <v>20</v>
      </c>
      <c r="B9" s="3">
        <v>8400</v>
      </c>
      <c r="C9" s="3">
        <v>3800</v>
      </c>
      <c r="D9" s="3">
        <v>22900</v>
      </c>
      <c r="E9" s="3">
        <v>5100</v>
      </c>
      <c r="F9" s="3">
        <v>63900</v>
      </c>
      <c r="G9" s="2">
        <v>0</v>
      </c>
      <c r="H9" s="2">
        <v>0</v>
      </c>
      <c r="I9" s="2">
        <v>0</v>
      </c>
      <c r="J9" s="2">
        <v>0</v>
      </c>
      <c r="K9" s="3">
        <v>791300</v>
      </c>
      <c r="L9" s="3">
        <v>14200</v>
      </c>
      <c r="M9" s="5">
        <v>5100</v>
      </c>
      <c r="O9" s="44"/>
    </row>
    <row r="10" spans="1:15">
      <c r="A10" s="4" t="s">
        <v>21</v>
      </c>
      <c r="B10" s="3">
        <v>8100</v>
      </c>
      <c r="C10" s="3">
        <v>3700</v>
      </c>
      <c r="D10" s="3">
        <v>18100</v>
      </c>
      <c r="E10" s="2">
        <v>400</v>
      </c>
      <c r="F10" s="3">
        <v>16800</v>
      </c>
      <c r="G10" s="2">
        <v>100</v>
      </c>
      <c r="H10" s="2">
        <v>0</v>
      </c>
      <c r="I10" s="2">
        <v>0</v>
      </c>
      <c r="J10" s="2">
        <v>0</v>
      </c>
      <c r="K10" s="3">
        <v>262500</v>
      </c>
      <c r="L10" s="3">
        <v>1800</v>
      </c>
      <c r="M10" s="6">
        <v>600</v>
      </c>
      <c r="O10" s="44"/>
    </row>
    <row r="11" spans="1:15">
      <c r="A11" s="4" t="s">
        <v>22</v>
      </c>
      <c r="B11" s="3">
        <v>254900</v>
      </c>
      <c r="C11" s="3">
        <v>57300</v>
      </c>
      <c r="D11" s="3">
        <v>414500</v>
      </c>
      <c r="E11" s="3">
        <v>170500</v>
      </c>
      <c r="F11" s="3">
        <v>1101100</v>
      </c>
      <c r="G11" s="2">
        <v>400</v>
      </c>
      <c r="H11" s="2">
        <v>100</v>
      </c>
      <c r="I11" s="2">
        <v>0</v>
      </c>
      <c r="J11" s="2">
        <v>0</v>
      </c>
      <c r="K11" s="3">
        <v>16136500</v>
      </c>
      <c r="L11" s="3">
        <v>351800</v>
      </c>
      <c r="M11" s="5">
        <v>96100</v>
      </c>
      <c r="O11" s="44"/>
    </row>
    <row r="12" spans="1:15">
      <c r="A12" s="4" t="s">
        <v>23</v>
      </c>
      <c r="B12" s="3">
        <v>92400</v>
      </c>
      <c r="C12" s="3">
        <v>22700</v>
      </c>
      <c r="D12" s="3">
        <v>175300</v>
      </c>
      <c r="E12" s="3">
        <v>92500</v>
      </c>
      <c r="F12" s="3">
        <v>719400</v>
      </c>
      <c r="G12" s="2">
        <v>300</v>
      </c>
      <c r="H12" s="2">
        <v>200</v>
      </c>
      <c r="I12" s="2">
        <v>0</v>
      </c>
      <c r="J12" s="2">
        <v>0</v>
      </c>
      <c r="K12" s="3">
        <v>8256400</v>
      </c>
      <c r="L12" s="3">
        <v>206300</v>
      </c>
      <c r="M12" s="5">
        <v>76900</v>
      </c>
      <c r="O12" s="44"/>
    </row>
    <row r="13" spans="1:15">
      <c r="A13" s="4" t="s">
        <v>24</v>
      </c>
      <c r="B13" s="3">
        <v>25600</v>
      </c>
      <c r="C13" s="3">
        <v>7300</v>
      </c>
      <c r="D13" s="3">
        <v>36400</v>
      </c>
      <c r="E13" s="3">
        <v>3400</v>
      </c>
      <c r="F13" s="3">
        <v>37300</v>
      </c>
      <c r="G13" s="2">
        <v>0</v>
      </c>
      <c r="H13" s="2">
        <v>0</v>
      </c>
      <c r="I13" s="2">
        <v>0</v>
      </c>
      <c r="J13" s="2">
        <v>0</v>
      </c>
      <c r="K13" s="3">
        <v>951000</v>
      </c>
      <c r="L13" s="3">
        <v>15400</v>
      </c>
      <c r="M13" s="5">
        <v>3700</v>
      </c>
      <c r="O13" s="44"/>
    </row>
    <row r="14" spans="1:15">
      <c r="A14" s="4" t="s">
        <v>25</v>
      </c>
      <c r="B14" s="3">
        <v>8500</v>
      </c>
      <c r="C14" s="3">
        <v>4600</v>
      </c>
      <c r="D14" s="3">
        <v>43700</v>
      </c>
      <c r="E14" s="3">
        <v>45900</v>
      </c>
      <c r="F14" s="3">
        <v>132900</v>
      </c>
      <c r="G14" s="2">
        <v>100</v>
      </c>
      <c r="H14" s="2">
        <v>100</v>
      </c>
      <c r="I14" s="2">
        <v>0</v>
      </c>
      <c r="J14" s="2">
        <v>0</v>
      </c>
      <c r="K14" s="3">
        <v>1568600</v>
      </c>
      <c r="L14" s="3">
        <v>138600</v>
      </c>
      <c r="M14" s="5">
        <v>31600</v>
      </c>
      <c r="O14" s="44"/>
    </row>
    <row r="15" spans="1:15">
      <c r="A15" s="4" t="s">
        <v>26</v>
      </c>
      <c r="B15" s="3">
        <v>99600</v>
      </c>
      <c r="C15" s="3">
        <v>33400</v>
      </c>
      <c r="D15" s="3">
        <v>285400</v>
      </c>
      <c r="E15" s="3">
        <v>61500</v>
      </c>
      <c r="F15" s="3">
        <v>772900</v>
      </c>
      <c r="G15" s="2">
        <v>300</v>
      </c>
      <c r="H15" s="2">
        <v>0</v>
      </c>
      <c r="I15" s="2">
        <v>0</v>
      </c>
      <c r="J15" s="2">
        <v>0</v>
      </c>
      <c r="K15" s="3">
        <v>8560300</v>
      </c>
      <c r="L15" s="3">
        <v>170200</v>
      </c>
      <c r="M15" s="5">
        <v>59600</v>
      </c>
      <c r="O15" s="44"/>
    </row>
    <row r="16" spans="1:15">
      <c r="A16" s="4" t="s">
        <v>27</v>
      </c>
      <c r="B16" s="3">
        <v>26100</v>
      </c>
      <c r="C16" s="3">
        <v>12900</v>
      </c>
      <c r="D16" s="3">
        <v>119100</v>
      </c>
      <c r="E16" s="3">
        <v>56300</v>
      </c>
      <c r="F16" s="3">
        <v>576300</v>
      </c>
      <c r="G16" s="2">
        <v>300</v>
      </c>
      <c r="H16" s="2">
        <v>0</v>
      </c>
      <c r="I16" s="2">
        <v>0</v>
      </c>
      <c r="J16" s="2">
        <v>0</v>
      </c>
      <c r="K16" s="3">
        <v>5166200</v>
      </c>
      <c r="L16" s="3">
        <v>156400</v>
      </c>
      <c r="M16" s="5">
        <v>58500</v>
      </c>
      <c r="O16" s="44"/>
    </row>
    <row r="17" spans="1:15">
      <c r="A17" s="4" t="s">
        <v>28</v>
      </c>
      <c r="B17" s="3">
        <v>9000</v>
      </c>
      <c r="C17" s="3">
        <v>6100</v>
      </c>
      <c r="D17" s="3">
        <v>57200</v>
      </c>
      <c r="E17" s="3">
        <v>41700</v>
      </c>
      <c r="F17" s="3">
        <v>331300</v>
      </c>
      <c r="G17" s="2">
        <v>100</v>
      </c>
      <c r="H17" s="2">
        <v>0</v>
      </c>
      <c r="I17" s="2">
        <v>0</v>
      </c>
      <c r="J17" s="2">
        <v>0</v>
      </c>
      <c r="K17" s="3">
        <v>2545400</v>
      </c>
      <c r="L17" s="3">
        <v>105000</v>
      </c>
      <c r="M17" s="5">
        <v>57500</v>
      </c>
      <c r="O17" s="44"/>
    </row>
    <row r="18" spans="1:15">
      <c r="A18" s="4" t="s">
        <v>29</v>
      </c>
      <c r="B18" s="3">
        <v>11300</v>
      </c>
      <c r="C18" s="3">
        <v>5600</v>
      </c>
      <c r="D18" s="3">
        <v>50400</v>
      </c>
      <c r="E18" s="3">
        <v>27900</v>
      </c>
      <c r="F18" s="3">
        <v>253500</v>
      </c>
      <c r="G18" s="2">
        <v>200</v>
      </c>
      <c r="H18" s="2">
        <v>100</v>
      </c>
      <c r="I18" s="2">
        <v>0</v>
      </c>
      <c r="J18" s="2">
        <v>0</v>
      </c>
      <c r="K18" s="3">
        <v>2168600</v>
      </c>
      <c r="L18" s="3">
        <v>87400</v>
      </c>
      <c r="M18" s="5">
        <v>16100</v>
      </c>
      <c r="O18" s="44"/>
    </row>
    <row r="19" spans="1:15">
      <c r="A19" s="4" t="s">
        <v>30</v>
      </c>
      <c r="B19" s="3">
        <v>11600</v>
      </c>
      <c r="C19" s="3">
        <v>5600</v>
      </c>
      <c r="D19" s="3">
        <v>67100</v>
      </c>
      <c r="E19" s="3">
        <v>36900</v>
      </c>
      <c r="F19" s="3">
        <v>361200</v>
      </c>
      <c r="G19" s="2">
        <v>300</v>
      </c>
      <c r="H19" s="2">
        <v>0</v>
      </c>
      <c r="I19" s="2">
        <v>0</v>
      </c>
      <c r="J19" s="2">
        <v>0</v>
      </c>
      <c r="K19" s="3">
        <v>3415000</v>
      </c>
      <c r="L19" s="3">
        <v>117600</v>
      </c>
      <c r="M19" s="5">
        <v>24400</v>
      </c>
      <c r="O19" s="44"/>
    </row>
    <row r="20" spans="1:15">
      <c r="A20" s="4" t="s">
        <v>31</v>
      </c>
      <c r="B20" s="3">
        <v>8200</v>
      </c>
      <c r="C20" s="3">
        <v>4000</v>
      </c>
      <c r="D20" s="3">
        <v>40200</v>
      </c>
      <c r="E20" s="3">
        <v>64200</v>
      </c>
      <c r="F20" s="3">
        <v>380100</v>
      </c>
      <c r="G20" s="2">
        <v>100</v>
      </c>
      <c r="H20" s="2">
        <v>0</v>
      </c>
      <c r="I20" s="2">
        <v>0</v>
      </c>
      <c r="J20" s="2">
        <v>0</v>
      </c>
      <c r="K20" s="3">
        <v>3142800</v>
      </c>
      <c r="L20" s="3">
        <v>115500</v>
      </c>
      <c r="M20" s="5">
        <v>19100</v>
      </c>
      <c r="O20" s="44"/>
    </row>
    <row r="21" spans="1:15">
      <c r="A21" s="4" t="s">
        <v>32</v>
      </c>
      <c r="B21" s="3">
        <v>7400</v>
      </c>
      <c r="C21" s="3">
        <v>7600</v>
      </c>
      <c r="D21" s="3">
        <v>33600</v>
      </c>
      <c r="E21" s="3">
        <v>12000</v>
      </c>
      <c r="F21" s="3">
        <v>104500</v>
      </c>
      <c r="G21" s="2">
        <v>0</v>
      </c>
      <c r="H21" s="2">
        <v>0</v>
      </c>
      <c r="I21" s="2">
        <v>0</v>
      </c>
      <c r="J21" s="2">
        <v>0</v>
      </c>
      <c r="K21" s="3">
        <v>1036100</v>
      </c>
      <c r="L21" s="3">
        <v>26900</v>
      </c>
      <c r="M21" s="5">
        <v>7900</v>
      </c>
      <c r="O21" s="44"/>
    </row>
    <row r="22" spans="1:15">
      <c r="A22" s="4" t="s">
        <v>33</v>
      </c>
      <c r="B22" s="3">
        <v>72100</v>
      </c>
      <c r="C22" s="3">
        <v>31300</v>
      </c>
      <c r="D22" s="3">
        <v>168700</v>
      </c>
      <c r="E22" s="3">
        <v>32100</v>
      </c>
      <c r="F22" s="3">
        <v>309300</v>
      </c>
      <c r="G22" s="2">
        <v>300</v>
      </c>
      <c r="H22" s="2">
        <v>0</v>
      </c>
      <c r="I22" s="2">
        <v>0</v>
      </c>
      <c r="J22" s="2">
        <v>0</v>
      </c>
      <c r="K22" s="3">
        <v>4327800</v>
      </c>
      <c r="L22" s="3">
        <v>86900</v>
      </c>
      <c r="M22" s="5">
        <v>31500</v>
      </c>
      <c r="O22" s="44"/>
    </row>
    <row r="23" spans="1:15">
      <c r="A23" s="4" t="s">
        <v>34</v>
      </c>
      <c r="B23" s="3">
        <v>73800</v>
      </c>
      <c r="C23" s="3">
        <v>43800</v>
      </c>
      <c r="D23" s="3">
        <v>187300</v>
      </c>
      <c r="E23" s="3">
        <v>21300</v>
      </c>
      <c r="F23" s="3">
        <v>285000</v>
      </c>
      <c r="G23" s="2">
        <v>200</v>
      </c>
      <c r="H23" s="2">
        <v>0</v>
      </c>
      <c r="I23" s="2">
        <v>0</v>
      </c>
      <c r="J23" s="2">
        <v>0</v>
      </c>
      <c r="K23" s="3">
        <v>4791300</v>
      </c>
      <c r="L23" s="3">
        <v>58400</v>
      </c>
      <c r="M23" s="5">
        <v>30000</v>
      </c>
      <c r="O23" s="44"/>
    </row>
    <row r="24" spans="1:15">
      <c r="A24" s="4" t="s">
        <v>35</v>
      </c>
      <c r="B24" s="3">
        <v>50300</v>
      </c>
      <c r="C24" s="3">
        <v>29100</v>
      </c>
      <c r="D24" s="3">
        <v>148100</v>
      </c>
      <c r="E24" s="3">
        <v>70400</v>
      </c>
      <c r="F24" s="3">
        <v>873700</v>
      </c>
      <c r="G24" s="2">
        <v>300</v>
      </c>
      <c r="H24" s="2">
        <v>0</v>
      </c>
      <c r="I24" s="2">
        <v>0</v>
      </c>
      <c r="J24" s="2">
        <v>0</v>
      </c>
      <c r="K24" s="3">
        <v>7129600</v>
      </c>
      <c r="L24" s="3">
        <v>174500</v>
      </c>
      <c r="M24" s="5">
        <v>49400</v>
      </c>
      <c r="O24" s="44"/>
    </row>
    <row r="25" spans="1:15">
      <c r="A25" s="4" t="s">
        <v>36</v>
      </c>
      <c r="B25" s="3">
        <v>37100</v>
      </c>
      <c r="C25" s="3">
        <v>16100</v>
      </c>
      <c r="D25" s="3">
        <v>124500</v>
      </c>
      <c r="E25" s="3">
        <v>52700</v>
      </c>
      <c r="F25" s="3">
        <v>516400</v>
      </c>
      <c r="G25" s="2">
        <v>100</v>
      </c>
      <c r="H25" s="2">
        <v>0</v>
      </c>
      <c r="I25" s="2">
        <v>0</v>
      </c>
      <c r="J25" s="2">
        <v>0</v>
      </c>
      <c r="K25" s="3">
        <v>4219200</v>
      </c>
      <c r="L25" s="3">
        <v>127900</v>
      </c>
      <c r="M25" s="5">
        <v>24500</v>
      </c>
      <c r="O25" s="44"/>
    </row>
    <row r="26" spans="1:15">
      <c r="A26" s="4" t="s">
        <v>37</v>
      </c>
      <c r="B26" s="3">
        <v>3600</v>
      </c>
      <c r="C26" s="3">
        <v>2000</v>
      </c>
      <c r="D26" s="3">
        <v>28200</v>
      </c>
      <c r="E26" s="3">
        <v>34900</v>
      </c>
      <c r="F26" s="3">
        <v>295200</v>
      </c>
      <c r="G26" s="2">
        <v>100</v>
      </c>
      <c r="H26" s="2">
        <v>0</v>
      </c>
      <c r="I26" s="2">
        <v>0</v>
      </c>
      <c r="J26" s="2">
        <v>0</v>
      </c>
      <c r="K26" s="3">
        <v>2275600</v>
      </c>
      <c r="L26" s="3">
        <v>75200</v>
      </c>
      <c r="M26" s="5">
        <v>8500</v>
      </c>
      <c r="O26" s="44"/>
    </row>
    <row r="27" spans="1:15">
      <c r="A27" s="4" t="s">
        <v>38</v>
      </c>
      <c r="B27" s="3">
        <v>26900</v>
      </c>
      <c r="C27" s="3">
        <v>13900</v>
      </c>
      <c r="D27" s="3">
        <v>113900</v>
      </c>
      <c r="E27" s="3">
        <v>70400</v>
      </c>
      <c r="F27" s="3">
        <v>575500</v>
      </c>
      <c r="G27" s="2">
        <v>900</v>
      </c>
      <c r="H27" s="2">
        <v>100</v>
      </c>
      <c r="I27" s="2">
        <v>0</v>
      </c>
      <c r="J27" s="2">
        <v>0</v>
      </c>
      <c r="K27" s="3">
        <v>4608600</v>
      </c>
      <c r="L27" s="3">
        <v>178200</v>
      </c>
      <c r="M27" s="5">
        <v>37600</v>
      </c>
      <c r="O27" s="44"/>
    </row>
    <row r="28" spans="1:15">
      <c r="A28" s="4" t="s">
        <v>39</v>
      </c>
      <c r="B28" s="3">
        <v>4600</v>
      </c>
      <c r="C28" s="3">
        <v>2500</v>
      </c>
      <c r="D28" s="3">
        <v>21100</v>
      </c>
      <c r="E28" s="3">
        <v>37900</v>
      </c>
      <c r="F28" s="3">
        <v>94500</v>
      </c>
      <c r="G28" s="2">
        <v>0</v>
      </c>
      <c r="H28" s="2">
        <v>0</v>
      </c>
      <c r="I28" s="2">
        <v>0</v>
      </c>
      <c r="J28" s="2">
        <v>0</v>
      </c>
      <c r="K28" s="3">
        <v>780700</v>
      </c>
      <c r="L28" s="3">
        <v>69600</v>
      </c>
      <c r="M28" s="5">
        <v>10800</v>
      </c>
      <c r="O28" s="44"/>
    </row>
    <row r="29" spans="1:15">
      <c r="A29" s="4" t="s">
        <v>40</v>
      </c>
      <c r="B29" s="3">
        <v>6900</v>
      </c>
      <c r="C29" s="3">
        <v>3800</v>
      </c>
      <c r="D29" s="3">
        <v>32600</v>
      </c>
      <c r="E29" s="3">
        <v>28900</v>
      </c>
      <c r="F29" s="3">
        <v>197100</v>
      </c>
      <c r="G29" s="2">
        <v>100</v>
      </c>
      <c r="H29" s="2">
        <v>0</v>
      </c>
      <c r="I29" s="2">
        <v>0</v>
      </c>
      <c r="J29" s="2">
        <v>0</v>
      </c>
      <c r="K29" s="3">
        <v>1600400</v>
      </c>
      <c r="L29" s="3">
        <v>76100</v>
      </c>
      <c r="M29" s="5">
        <v>25300</v>
      </c>
      <c r="O29" s="44"/>
    </row>
    <row r="30" spans="1:15">
      <c r="A30" s="4" t="s">
        <v>41</v>
      </c>
      <c r="B30" s="3">
        <v>47400</v>
      </c>
      <c r="C30" s="3">
        <v>10600</v>
      </c>
      <c r="D30" s="3">
        <v>69600</v>
      </c>
      <c r="E30" s="3">
        <v>27200</v>
      </c>
      <c r="F30" s="3">
        <v>125600</v>
      </c>
      <c r="G30" s="2">
        <v>200</v>
      </c>
      <c r="H30" s="2">
        <v>100</v>
      </c>
      <c r="I30" s="2">
        <v>0</v>
      </c>
      <c r="J30" s="2">
        <v>0</v>
      </c>
      <c r="K30" s="3">
        <v>2169300</v>
      </c>
      <c r="L30" s="3">
        <v>85800</v>
      </c>
      <c r="M30" s="5">
        <v>20300</v>
      </c>
      <c r="O30" s="44"/>
    </row>
    <row r="31" spans="1:15">
      <c r="A31" s="4" t="s">
        <v>42</v>
      </c>
      <c r="B31" s="3">
        <v>9900</v>
      </c>
      <c r="C31" s="3">
        <v>6600</v>
      </c>
      <c r="D31" s="3">
        <v>36800</v>
      </c>
      <c r="E31" s="3">
        <v>13900</v>
      </c>
      <c r="F31" s="3">
        <v>89600</v>
      </c>
      <c r="G31" s="2">
        <v>100</v>
      </c>
      <c r="H31" s="2">
        <v>0</v>
      </c>
      <c r="I31" s="2">
        <v>0</v>
      </c>
      <c r="J31" s="2">
        <v>0</v>
      </c>
      <c r="K31" s="3">
        <v>1185300</v>
      </c>
      <c r="L31" s="3">
        <v>29200</v>
      </c>
      <c r="M31" s="5">
        <v>12300</v>
      </c>
      <c r="O31" s="44"/>
    </row>
    <row r="32" spans="1:15">
      <c r="A32" s="4" t="s">
        <v>43</v>
      </c>
      <c r="B32" s="3">
        <v>134800</v>
      </c>
      <c r="C32" s="3">
        <v>40900</v>
      </c>
      <c r="D32" s="3">
        <v>174200</v>
      </c>
      <c r="E32" s="3">
        <v>27800</v>
      </c>
      <c r="F32" s="3">
        <v>392100</v>
      </c>
      <c r="G32" s="2">
        <v>300</v>
      </c>
      <c r="H32" s="2">
        <v>0</v>
      </c>
      <c r="I32" s="2">
        <v>0</v>
      </c>
      <c r="J32" s="2">
        <v>0</v>
      </c>
      <c r="K32" s="3">
        <v>6433000</v>
      </c>
      <c r="L32" s="3">
        <v>84600</v>
      </c>
      <c r="M32" s="5">
        <v>36400</v>
      </c>
      <c r="O32" s="44"/>
    </row>
    <row r="33" spans="1:15">
      <c r="A33" s="4" t="s">
        <v>44</v>
      </c>
      <c r="B33" s="3">
        <v>10300</v>
      </c>
      <c r="C33" s="3">
        <v>4900</v>
      </c>
      <c r="D33" s="3">
        <v>44300</v>
      </c>
      <c r="E33" s="3">
        <v>32100</v>
      </c>
      <c r="F33" s="3">
        <v>151600</v>
      </c>
      <c r="G33" s="2">
        <v>100</v>
      </c>
      <c r="H33" s="2">
        <v>100</v>
      </c>
      <c r="I33" s="2">
        <v>0</v>
      </c>
      <c r="J33" s="2">
        <v>0</v>
      </c>
      <c r="K33" s="3">
        <v>1597600</v>
      </c>
      <c r="L33" s="3">
        <v>88500</v>
      </c>
      <c r="M33" s="5">
        <v>22900</v>
      </c>
      <c r="O33" s="44"/>
    </row>
    <row r="34" spans="1:15">
      <c r="A34" s="4" t="s">
        <v>45</v>
      </c>
      <c r="B34" s="3">
        <v>131300</v>
      </c>
      <c r="C34" s="3">
        <v>92300</v>
      </c>
      <c r="D34" s="3">
        <v>314000</v>
      </c>
      <c r="E34" s="3">
        <v>54300</v>
      </c>
      <c r="F34" s="3">
        <v>591100</v>
      </c>
      <c r="G34" s="2">
        <v>400</v>
      </c>
      <c r="H34" s="2">
        <v>100</v>
      </c>
      <c r="I34" s="2">
        <v>0</v>
      </c>
      <c r="J34" s="2">
        <v>0</v>
      </c>
      <c r="K34" s="3">
        <v>9905500</v>
      </c>
      <c r="L34" s="3">
        <v>150500</v>
      </c>
      <c r="M34" s="5">
        <v>79100</v>
      </c>
      <c r="O34" s="44"/>
    </row>
    <row r="35" spans="1:15">
      <c r="A35" s="4" t="s">
        <v>46</v>
      </c>
      <c r="B35" s="3">
        <v>70200</v>
      </c>
      <c r="C35" s="3">
        <v>23700</v>
      </c>
      <c r="D35" s="3">
        <v>210600</v>
      </c>
      <c r="E35" s="3">
        <v>80200</v>
      </c>
      <c r="F35" s="3">
        <v>655000</v>
      </c>
      <c r="G35" s="2">
        <v>300</v>
      </c>
      <c r="H35" s="2">
        <v>100</v>
      </c>
      <c r="I35" s="2">
        <v>0</v>
      </c>
      <c r="J35" s="2">
        <v>0</v>
      </c>
      <c r="K35" s="3">
        <v>7764000</v>
      </c>
      <c r="L35" s="3">
        <v>209700</v>
      </c>
      <c r="M35" s="5">
        <v>71700</v>
      </c>
      <c r="O35" s="44"/>
    </row>
    <row r="36" spans="1:15">
      <c r="A36" s="4" t="s">
        <v>47</v>
      </c>
      <c r="B36" s="3">
        <v>1000</v>
      </c>
      <c r="C36" s="2">
        <v>800</v>
      </c>
      <c r="D36" s="3">
        <v>8200</v>
      </c>
      <c r="E36" s="3">
        <v>20400</v>
      </c>
      <c r="F36" s="3">
        <v>89900</v>
      </c>
      <c r="G36" s="2">
        <v>0</v>
      </c>
      <c r="H36" s="2">
        <v>0</v>
      </c>
      <c r="I36" s="2">
        <v>0</v>
      </c>
      <c r="J36" s="2">
        <v>0</v>
      </c>
      <c r="K36" s="3">
        <v>625300</v>
      </c>
      <c r="L36" s="3">
        <v>44600</v>
      </c>
      <c r="M36" s="5">
        <v>7200</v>
      </c>
      <c r="O36" s="44"/>
    </row>
    <row r="37" spans="1:15">
      <c r="A37" s="4" t="s">
        <v>48</v>
      </c>
      <c r="B37" s="3">
        <v>50400</v>
      </c>
      <c r="C37" s="3">
        <v>24000</v>
      </c>
      <c r="D37" s="3">
        <v>199800</v>
      </c>
      <c r="E37" s="3">
        <v>70300</v>
      </c>
      <c r="F37" s="3">
        <v>833500</v>
      </c>
      <c r="G37" s="2">
        <v>700</v>
      </c>
      <c r="H37" s="2">
        <v>100</v>
      </c>
      <c r="I37" s="2">
        <v>0</v>
      </c>
      <c r="J37" s="2">
        <v>0</v>
      </c>
      <c r="K37" s="3">
        <v>8881400</v>
      </c>
      <c r="L37" s="3">
        <v>196200</v>
      </c>
      <c r="M37" s="5">
        <v>60900</v>
      </c>
      <c r="O37" s="44"/>
    </row>
    <row r="38" spans="1:15">
      <c r="A38" s="4" t="s">
        <v>49</v>
      </c>
      <c r="B38" s="3">
        <v>22800</v>
      </c>
      <c r="C38" s="3">
        <v>33000</v>
      </c>
      <c r="D38" s="3">
        <v>56400</v>
      </c>
      <c r="E38" s="3">
        <v>63100</v>
      </c>
      <c r="F38" s="3">
        <v>352400</v>
      </c>
      <c r="G38" s="3">
        <v>1800</v>
      </c>
      <c r="H38" s="2">
        <v>200</v>
      </c>
      <c r="I38" s="2">
        <v>0</v>
      </c>
      <c r="J38" s="2">
        <v>0</v>
      </c>
      <c r="K38" s="3">
        <v>3567500</v>
      </c>
      <c r="L38" s="3">
        <v>145700</v>
      </c>
      <c r="M38" s="5">
        <v>45000</v>
      </c>
      <c r="O38" s="44"/>
    </row>
    <row r="39" spans="1:15">
      <c r="A39" s="4" t="s">
        <v>50</v>
      </c>
      <c r="B39" s="3">
        <v>64400</v>
      </c>
      <c r="C39" s="3">
        <v>28800</v>
      </c>
      <c r="D39" s="3">
        <v>156900</v>
      </c>
      <c r="E39" s="3">
        <v>55500</v>
      </c>
      <c r="F39" s="3">
        <v>184600</v>
      </c>
      <c r="G39" s="2">
        <v>100</v>
      </c>
      <c r="H39" s="2">
        <v>100</v>
      </c>
      <c r="I39" s="2">
        <v>0</v>
      </c>
      <c r="J39" s="2">
        <v>0</v>
      </c>
      <c r="K39" s="3">
        <v>3074300</v>
      </c>
      <c r="L39" s="3">
        <v>217000</v>
      </c>
      <c r="M39" s="5">
        <v>51000</v>
      </c>
      <c r="O39" s="44"/>
    </row>
    <row r="40" spans="1:15">
      <c r="A40" s="4" t="s">
        <v>51</v>
      </c>
      <c r="B40" s="3">
        <v>70200</v>
      </c>
      <c r="C40" s="3">
        <v>38900</v>
      </c>
      <c r="D40" s="3">
        <v>245400</v>
      </c>
      <c r="E40" s="3">
        <v>73900</v>
      </c>
      <c r="F40" s="3">
        <v>661700</v>
      </c>
      <c r="G40" s="2">
        <v>500</v>
      </c>
      <c r="H40" s="2">
        <v>100</v>
      </c>
      <c r="I40" s="2">
        <v>0</v>
      </c>
      <c r="J40" s="2">
        <v>0</v>
      </c>
      <c r="K40" s="3">
        <v>8886400</v>
      </c>
      <c r="L40" s="3">
        <v>192100</v>
      </c>
      <c r="M40" s="5">
        <v>41800</v>
      </c>
      <c r="O40" s="44"/>
    </row>
    <row r="41" spans="1:15">
      <c r="A41" s="4" t="s">
        <v>52</v>
      </c>
      <c r="B41" s="3">
        <v>6400</v>
      </c>
      <c r="C41" s="3">
        <v>5100</v>
      </c>
      <c r="D41" s="3">
        <v>22100</v>
      </c>
      <c r="E41" s="3">
        <v>3100</v>
      </c>
      <c r="F41" s="3">
        <v>41900</v>
      </c>
      <c r="G41" s="2">
        <v>0</v>
      </c>
      <c r="H41" s="2">
        <v>0</v>
      </c>
      <c r="I41" s="2">
        <v>0</v>
      </c>
      <c r="J41" s="2">
        <v>0</v>
      </c>
      <c r="K41" s="3">
        <v>782000</v>
      </c>
      <c r="L41" s="3">
        <v>11000</v>
      </c>
      <c r="M41" s="5">
        <v>6000</v>
      </c>
      <c r="O41" s="44"/>
    </row>
    <row r="42" spans="1:15">
      <c r="A42" s="4" t="s">
        <v>53</v>
      </c>
      <c r="B42" s="3">
        <v>20900</v>
      </c>
      <c r="C42" s="3">
        <v>9000</v>
      </c>
      <c r="D42" s="3">
        <v>83100</v>
      </c>
      <c r="E42" s="3">
        <v>44600</v>
      </c>
      <c r="F42" s="3">
        <v>404600</v>
      </c>
      <c r="G42" s="2">
        <v>100</v>
      </c>
      <c r="H42" s="2">
        <v>100</v>
      </c>
      <c r="I42" s="2">
        <v>0</v>
      </c>
      <c r="J42" s="2">
        <v>0</v>
      </c>
      <c r="K42" s="3">
        <v>4325000</v>
      </c>
      <c r="L42" s="3">
        <v>110100</v>
      </c>
      <c r="M42" s="5">
        <v>44900</v>
      </c>
      <c r="O42" s="44"/>
    </row>
    <row r="43" spans="1:15">
      <c r="A43" s="4" t="s">
        <v>54</v>
      </c>
      <c r="B43" s="3">
        <v>1700</v>
      </c>
      <c r="C43" s="3">
        <v>1300</v>
      </c>
      <c r="D43" s="3">
        <v>11900</v>
      </c>
      <c r="E43" s="3">
        <v>21500</v>
      </c>
      <c r="F43" s="3">
        <v>98800</v>
      </c>
      <c r="G43" s="2">
        <v>0</v>
      </c>
      <c r="H43" s="2">
        <v>0</v>
      </c>
      <c r="I43" s="2">
        <v>0</v>
      </c>
      <c r="J43" s="2">
        <v>0</v>
      </c>
      <c r="K43" s="3">
        <v>718300</v>
      </c>
      <c r="L43" s="3">
        <v>51200</v>
      </c>
      <c r="M43" s="5">
        <v>13300</v>
      </c>
      <c r="O43" s="44"/>
    </row>
    <row r="44" spans="1:15">
      <c r="A44" s="4" t="s">
        <v>55</v>
      </c>
      <c r="B44" s="3">
        <v>33200</v>
      </c>
      <c r="C44" s="3">
        <v>11000</v>
      </c>
      <c r="D44" s="3">
        <v>113300</v>
      </c>
      <c r="E44" s="3">
        <v>53100</v>
      </c>
      <c r="F44" s="3">
        <v>509000</v>
      </c>
      <c r="G44" s="2">
        <v>200</v>
      </c>
      <c r="H44" s="2">
        <v>100</v>
      </c>
      <c r="I44" s="2">
        <v>0</v>
      </c>
      <c r="J44" s="2">
        <v>0</v>
      </c>
      <c r="K44" s="3">
        <v>5620500</v>
      </c>
      <c r="L44" s="3">
        <v>160700</v>
      </c>
      <c r="M44" s="5">
        <v>37700</v>
      </c>
      <c r="O44" s="44"/>
    </row>
    <row r="45" spans="1:15">
      <c r="A45" s="4" t="s">
        <v>56</v>
      </c>
      <c r="B45" s="3">
        <v>230100</v>
      </c>
      <c r="C45" s="3">
        <v>55300</v>
      </c>
      <c r="D45" s="3">
        <v>445100</v>
      </c>
      <c r="E45" s="3">
        <v>460700</v>
      </c>
      <c r="F45" s="3">
        <v>2315400</v>
      </c>
      <c r="G45" s="3">
        <v>1300</v>
      </c>
      <c r="H45" s="3">
        <v>1300</v>
      </c>
      <c r="I45" s="2">
        <v>0</v>
      </c>
      <c r="J45" s="2">
        <v>0</v>
      </c>
      <c r="K45" s="3">
        <v>21392800</v>
      </c>
      <c r="L45" s="3">
        <v>772800</v>
      </c>
      <c r="M45" s="5">
        <v>121800</v>
      </c>
      <c r="O45" s="44"/>
    </row>
    <row r="46" spans="1:15">
      <c r="A46" s="4" t="s">
        <v>57</v>
      </c>
      <c r="B46" s="3">
        <v>40000</v>
      </c>
      <c r="C46" s="3">
        <v>13000</v>
      </c>
      <c r="D46" s="3">
        <v>83200</v>
      </c>
      <c r="E46" s="3">
        <v>68500</v>
      </c>
      <c r="F46" s="3">
        <v>185200</v>
      </c>
      <c r="G46" s="3">
        <v>2200</v>
      </c>
      <c r="H46" s="2">
        <v>500</v>
      </c>
      <c r="I46" s="2">
        <v>0</v>
      </c>
      <c r="J46" s="2">
        <v>0</v>
      </c>
      <c r="K46" s="3">
        <v>2499600</v>
      </c>
      <c r="L46" s="3">
        <v>158000</v>
      </c>
      <c r="M46" s="5">
        <v>26000</v>
      </c>
      <c r="O46" s="44"/>
    </row>
    <row r="47" spans="1:15">
      <c r="A47" s="4" t="s">
        <v>58</v>
      </c>
      <c r="B47" s="3">
        <v>7800</v>
      </c>
      <c r="C47" s="3">
        <v>5700</v>
      </c>
      <c r="D47" s="3">
        <v>20300</v>
      </c>
      <c r="E47" s="3">
        <v>7000</v>
      </c>
      <c r="F47" s="3">
        <v>36600</v>
      </c>
      <c r="G47" s="2">
        <v>0</v>
      </c>
      <c r="H47" s="2">
        <v>0</v>
      </c>
      <c r="I47" s="2">
        <v>0</v>
      </c>
      <c r="J47" s="2">
        <v>0</v>
      </c>
      <c r="K47" s="3">
        <v>496000</v>
      </c>
      <c r="L47" s="3">
        <v>14700</v>
      </c>
      <c r="M47" s="5">
        <v>5000</v>
      </c>
      <c r="O47" s="44"/>
    </row>
    <row r="48" spans="1:15">
      <c r="A48" s="4" t="s">
        <v>59</v>
      </c>
      <c r="B48" s="3">
        <v>84900</v>
      </c>
      <c r="C48" s="3">
        <v>26800</v>
      </c>
      <c r="D48" s="3">
        <v>229400</v>
      </c>
      <c r="E48" s="3">
        <v>44300</v>
      </c>
      <c r="F48" s="3">
        <v>484800</v>
      </c>
      <c r="G48" s="2">
        <v>300</v>
      </c>
      <c r="H48" s="2">
        <v>0</v>
      </c>
      <c r="I48" s="2">
        <v>0</v>
      </c>
      <c r="J48" s="2">
        <v>0</v>
      </c>
      <c r="K48" s="3">
        <v>6670000</v>
      </c>
      <c r="L48" s="3">
        <v>152800</v>
      </c>
      <c r="M48" s="5">
        <v>30200</v>
      </c>
      <c r="O48" s="44"/>
    </row>
    <row r="49" spans="1:15">
      <c r="A49" s="4" t="s">
        <v>60</v>
      </c>
      <c r="B49" s="3">
        <v>152100</v>
      </c>
      <c r="C49" s="3">
        <v>41200</v>
      </c>
      <c r="D49" s="3">
        <v>307200</v>
      </c>
      <c r="E49" s="3">
        <v>73800</v>
      </c>
      <c r="F49" s="3">
        <v>337700</v>
      </c>
      <c r="G49" s="2">
        <v>100</v>
      </c>
      <c r="H49" s="2">
        <v>100</v>
      </c>
      <c r="I49" s="2">
        <v>0</v>
      </c>
      <c r="J49" s="2">
        <v>0</v>
      </c>
      <c r="K49" s="3">
        <v>5583000</v>
      </c>
      <c r="L49" s="3">
        <v>274200</v>
      </c>
      <c r="M49" s="5">
        <v>46700</v>
      </c>
      <c r="O49" s="44"/>
    </row>
    <row r="50" spans="1:15">
      <c r="A50" s="4" t="s">
        <v>61</v>
      </c>
      <c r="B50" s="3">
        <v>2800</v>
      </c>
      <c r="C50" s="3">
        <v>1800</v>
      </c>
      <c r="D50" s="3">
        <v>22400</v>
      </c>
      <c r="E50" s="3">
        <v>17300</v>
      </c>
      <c r="F50" s="3">
        <v>123400</v>
      </c>
      <c r="G50" s="2">
        <v>100</v>
      </c>
      <c r="H50" s="2">
        <v>0</v>
      </c>
      <c r="I50" s="2">
        <v>0</v>
      </c>
      <c r="J50" s="2">
        <v>0</v>
      </c>
      <c r="K50" s="3">
        <v>1281500</v>
      </c>
      <c r="L50" s="3">
        <v>46400</v>
      </c>
      <c r="M50" s="5">
        <v>15200</v>
      </c>
      <c r="O50" s="44"/>
    </row>
    <row r="51" spans="1:15">
      <c r="A51" s="4" t="s">
        <v>62</v>
      </c>
      <c r="B51" s="3">
        <v>24900</v>
      </c>
      <c r="C51" s="3">
        <v>12500</v>
      </c>
      <c r="D51" s="3">
        <v>123600</v>
      </c>
      <c r="E51" s="3">
        <v>52900</v>
      </c>
      <c r="F51" s="3">
        <v>536200</v>
      </c>
      <c r="G51" s="2">
        <v>300</v>
      </c>
      <c r="H51" s="2">
        <v>0</v>
      </c>
      <c r="I51" s="2">
        <v>0</v>
      </c>
      <c r="J51" s="2">
        <v>0</v>
      </c>
      <c r="K51" s="3">
        <v>4604700</v>
      </c>
      <c r="L51" s="3">
        <v>147500</v>
      </c>
      <c r="M51" s="5">
        <v>26400</v>
      </c>
      <c r="O51" s="44"/>
    </row>
    <row r="52" spans="1:15">
      <c r="A52" s="7" t="s">
        <v>63</v>
      </c>
      <c r="B52" s="8">
        <v>1100</v>
      </c>
      <c r="C52" s="9">
        <v>800</v>
      </c>
      <c r="D52" s="8">
        <v>8400</v>
      </c>
      <c r="E52" s="8">
        <v>21200</v>
      </c>
      <c r="F52" s="8">
        <v>57700</v>
      </c>
      <c r="G52" s="9">
        <v>0</v>
      </c>
      <c r="H52" s="9">
        <v>0</v>
      </c>
      <c r="I52" s="9">
        <v>0</v>
      </c>
      <c r="J52" s="9">
        <v>0</v>
      </c>
      <c r="K52" s="8">
        <v>489100</v>
      </c>
      <c r="L52" s="8">
        <v>60900</v>
      </c>
      <c r="M52" s="10">
        <v>13700</v>
      </c>
      <c r="O52" s="44"/>
    </row>
    <row r="54" spans="1:15" ht="15" thickBot="1">
      <c r="B54" s="11">
        <f>SUM(B2:B53)</f>
        <v>3555900</v>
      </c>
      <c r="C54" s="11">
        <f t="shared" ref="C54:M54" si="0">SUM(C2:C53)</f>
        <v>1307200</v>
      </c>
      <c r="D54" s="11">
        <f t="shared" si="0"/>
        <v>7392300</v>
      </c>
      <c r="E54" s="11">
        <f t="shared" si="0"/>
        <v>2803600</v>
      </c>
      <c r="F54" s="11">
        <f t="shared" si="0"/>
        <v>20240600</v>
      </c>
      <c r="G54" s="11">
        <f t="shared" si="0"/>
        <v>24700</v>
      </c>
      <c r="H54" s="11">
        <f t="shared" si="0"/>
        <v>6000</v>
      </c>
      <c r="I54" s="11">
        <f t="shared" si="0"/>
        <v>16900</v>
      </c>
      <c r="J54" s="11">
        <f t="shared" si="0"/>
        <v>0</v>
      </c>
      <c r="K54" s="11">
        <f t="shared" si="0"/>
        <v>242870900</v>
      </c>
      <c r="L54" s="11">
        <f t="shared" si="0"/>
        <v>7184300</v>
      </c>
      <c r="M54" s="11">
        <f t="shared" si="0"/>
        <v>1694100</v>
      </c>
    </row>
    <row r="55" spans="1:15" ht="15" thickTop="1"/>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F7E27-EEC1-4B7C-B2AF-5FEF9EA44E8D}">
  <dimension ref="A1:B13"/>
  <sheetViews>
    <sheetView workbookViewId="0">
      <pane ySplit="1" topLeftCell="A2" activePane="bottomLeft" state="frozen"/>
      <selection pane="bottomLeft" activeCell="A5" sqref="A5"/>
    </sheetView>
  </sheetViews>
  <sheetFormatPr defaultRowHeight="14.5"/>
  <cols>
    <col min="1" max="1" width="24.75" style="29" bestFit="1" customWidth="1"/>
    <col min="2" max="2" width="13.4140625" style="29" bestFit="1" customWidth="1"/>
    <col min="3" max="16384" width="8.6640625" style="29"/>
  </cols>
  <sheetData>
    <row r="1" spans="1:2">
      <c r="A1" s="26" t="s">
        <v>71</v>
      </c>
      <c r="B1" s="30" t="s">
        <v>75</v>
      </c>
    </row>
    <row r="2" spans="1:2">
      <c r="A2" s="25" t="s">
        <v>1</v>
      </c>
      <c r="B2" s="31" t="s">
        <v>76</v>
      </c>
    </row>
    <row r="3" spans="1:2">
      <c r="A3" s="25" t="s">
        <v>2</v>
      </c>
      <c r="B3" s="31" t="s">
        <v>76</v>
      </c>
    </row>
    <row r="4" spans="1:2">
      <c r="A4" s="25" t="s">
        <v>3</v>
      </c>
      <c r="B4" s="31" t="s">
        <v>76</v>
      </c>
    </row>
    <row r="5" spans="1:2">
      <c r="A5" s="25" t="s">
        <v>4</v>
      </c>
      <c r="B5" s="31" t="s">
        <v>77</v>
      </c>
    </row>
    <row r="6" spans="1:2">
      <c r="A6" s="25" t="s">
        <v>5</v>
      </c>
      <c r="B6" s="31" t="s">
        <v>77</v>
      </c>
    </row>
    <row r="7" spans="1:2">
      <c r="A7" s="25" t="s">
        <v>6</v>
      </c>
      <c r="B7" s="31" t="s">
        <v>77</v>
      </c>
    </row>
    <row r="8" spans="1:2">
      <c r="A8" s="25" t="s">
        <v>7</v>
      </c>
      <c r="B8" s="31" t="s">
        <v>77</v>
      </c>
    </row>
    <row r="9" spans="1:2">
      <c r="A9" s="25" t="s">
        <v>8</v>
      </c>
      <c r="B9" s="31" t="s">
        <v>77</v>
      </c>
    </row>
    <row r="10" spans="1:2">
      <c r="A10" s="25" t="s">
        <v>9</v>
      </c>
      <c r="B10" s="31" t="s">
        <v>77</v>
      </c>
    </row>
    <row r="11" spans="1:2">
      <c r="A11" s="25" t="s">
        <v>10</v>
      </c>
      <c r="B11" s="31" t="s">
        <v>77</v>
      </c>
    </row>
    <row r="12" spans="1:2">
      <c r="A12" s="25" t="s">
        <v>11</v>
      </c>
      <c r="B12" s="31" t="s">
        <v>77</v>
      </c>
    </row>
    <row r="13" spans="1:2">
      <c r="A13" s="27" t="s">
        <v>12</v>
      </c>
      <c r="B13" s="32" t="s">
        <v>77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1FF95C-36AB-412A-9C87-12EC495EF3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Business Questions</vt:lpstr>
      <vt:lpstr>Percentage Of Fuel Type</vt:lpstr>
      <vt:lpstr>EV Adoption Rate</vt:lpstr>
      <vt:lpstr>Large States EV Adoption</vt:lpstr>
      <vt:lpstr>vehicle_data_cleaned</vt:lpstr>
      <vt:lpstr>vehicle_data_raw</vt:lpstr>
      <vt:lpstr>Support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Jude</dc:creator>
  <cp:lastModifiedBy>Jude Isuru Fernando</cp:lastModifiedBy>
  <dcterms:created xsi:type="dcterms:W3CDTF">2026-05-16T10:51:59Z</dcterms:created>
  <dcterms:modified xsi:type="dcterms:W3CDTF">2026-05-16T12:47:23Z</dcterms:modified>
</cp:coreProperties>
</file>